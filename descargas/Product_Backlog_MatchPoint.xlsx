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95fd6d72e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f4e998b8426e49fa"/>
    <x:sheet xmlns:r="http://schemas.openxmlformats.org/officeDocument/2006/relationships" name="01_Product_Backlog" sheetId="2" r:id="R138b0dca6dde475b"/>
    <x:sheet xmlns:r="http://schemas.openxmlformats.org/officeDocument/2006/relationships" name="02_Criterios_Aceptacion" sheetId="3" r:id="R9c4404fb6d9448bb"/>
    <x:sheet xmlns:r="http://schemas.openxmlformats.org/officeDocument/2006/relationships" name="03_Plan_Entregas" sheetId="4" r:id="Rc981dafa3e2949dd"/>
    <x:sheet xmlns:r="http://schemas.openxmlformats.org/officeDocument/2006/relationships" name="04_Riesgos_y_Decisiones" sheetId="5" r:id="R98ce4a822ce042ee"/>
    <x:sheet xmlns:r="http://schemas.openxmlformats.org/officeDocument/2006/relationships" name="05_Glosario_y_Guia" sheetId="6" r:id="Ree581592876e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9"/>
      <x:color rgb="FFFFFFFF"/>
      <x:name val="Carlito"/>
    </x:font>
    <x:font>
      <x:sz val="10"/>
      <x:color rgb="FF25334D"/>
      <x:name val="Carlito"/>
    </x:font>
    <x:font>
      <x:sz val="10"/>
      <x:color rgb="FF176E4B"/>
      <x:name val="Carlito"/>
    </x:font>
    <x:font>
      <x:sz val="10"/>
      <x:color rgb="FF67548E"/>
      <x:name val="Carlito"/>
    </x:font>
    <x:font>
      <x:b/>
      <x:sz val="10"/>
      <x:color rgb="FFFFFFFF"/>
      <x:name val="Carlito"/>
    </x:font>
    <x:font>
      <x:sz val="11"/>
      <x:color rgb="FF16603F"/>
      <x:name val="Carlito"/>
    </x:font>
    <x:font>
      <x:b/>
      <x:sz val="20"/>
      <x:color rgb="FFFFFFFF"/>
      <x:name val="Carlito"/>
    </x:font>
    <x:font>
      <x:sz val="11"/>
      <x:color rgb="FF25334D"/>
      <x:name val="Carlito"/>
    </x:font>
    <x:font>
      <x:b/>
      <x:sz val="10"/>
      <x:color rgb="FF295680"/>
      <x:name val="Carlito"/>
    </x:font>
    <x:font>
      <x:b/>
      <x:sz val="22"/>
      <x:color rgb="FF152841"/>
      <x:name val="Carlito"/>
    </x:font>
    <x:font>
      <x:b/>
      <x:sz val="12"/>
      <x:color rgb="FFFFFFFF"/>
      <x:name val="Carlito"/>
    </x:font>
    <x:font>
      <x:b/>
      <x:sz val="11"/>
      <x:color rgb="FF25334D"/>
      <x:name val="Carlito"/>
    </x:font>
    <x:font>
      <x:sz val="10"/>
      <x:color rgb="FF152841"/>
      <x:name val="Carlito"/>
    </x:font>
    <x:font>
      <x:sz val="10"/>
      <x:color rgb="FF865500"/>
      <x:name val="Carlito"/>
    </x:font>
    <x:font>
      <x:b/>
      <x:sz val="11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52841"/>
      </x:patternFill>
    </x:fill>
    <x:fill>
      <x:patternFill patternType="solid">
        <x:fgColor rgb="FFDDEBFC"/>
      </x:patternFill>
    </x:fill>
    <x:fill>
      <x:patternFill patternType="solid">
        <x:fgColor rgb="FFECFDF5"/>
      </x:patternFill>
    </x:fill>
    <x:fill>
      <x:patternFill patternType="solid">
        <x:fgColor rgb="FFF5F2FF"/>
      </x:patternFill>
    </x:fill>
    <x:fill>
      <x:patternFill patternType="solid">
        <x:fgColor rgb="FFDCFCE7"/>
      </x:patternFill>
    </x:fill>
    <x:fill>
      <x:patternFill patternType="solid">
        <x:fgColor rgb="FFF8FAFE"/>
      </x:patternFill>
    </x:fill>
    <x:fill>
      <x:patternFill patternType="solid">
        <x:fgColor rgb="FFFFE4E6"/>
      </x:patternFill>
    </x:fill>
    <x:fill>
      <x:patternFill patternType="solid">
        <x:fgColor rgb="FFFFF3D2"/>
      </x:patternFill>
    </x:fill>
    <x:fill>
      <x:patternFill patternType="solid">
        <x:fgColor rgb="FFEFE5FB"/>
      </x:patternFill>
    </x:fill>
    <x:fill>
      <x:patternFill patternType="solid">
        <x:fgColor rgb="FFEDF9F4"/>
      </x:patternFill>
    </x:fill>
    <x:fill>
      <x:patternFill patternType="solid">
        <x:fgColor rgb="FFF7FAFF"/>
      </x:patternFill>
    </x:fill>
    <x:fill>
      <x:patternFill patternType="solid">
        <x:fgColor rgb="FFE7F3FE"/>
      </x:patternFill>
    </x:fill>
    <x:fill>
      <x:patternFill patternType="solid">
        <x:fgColor rgb="FFDFECFD"/>
      </x:patternFill>
    </x:fill>
    <x:fill>
      <x:patternFill patternType="solid">
        <x:fgColor rgb="FFE6ECF5"/>
      </x:patternFill>
    </x:fill>
    <x:fill>
      <x:patternFill patternType="solid">
        <x:fgColor rgb="FFE7F7EE"/>
      </x:patternFill>
    </x:fill>
    <x:fill>
      <x:patternFill patternType="solid">
        <x:fgColor rgb="FFFFF5DE"/>
      </x:patternFill>
    </x:fill>
    <x:fill>
      <x:patternFill patternType="solid">
        <x:fgColor rgb="FFF1EAFB"/>
      </x:patternFill>
    </x:fill>
    <x:fill>
      <x:patternFill patternType="solid">
        <x:fgColor rgb="FFF2F6FD"/>
      </x:patternFill>
    </x:fill>
    <x:fill>
      <x:patternFill patternType="solid">
        <x:fgColor rgb="FFFFFFFF"/>
      </x:patternFill>
    </x:fill>
    <x:fill>
      <x:patternFill patternType="solid">
        <x:fgColor rgb="FFEEF7FF"/>
      </x:patternFill>
    </x:fill>
    <x:fill>
      <x:patternFill patternType="solid">
        <x:fgColor rgb="FFFFF2D7"/>
      </x:patternFill>
    </x:fill>
    <x:fill>
      <x:patternFill patternType="solid">
        <x:fgColor rgb="FFE8F3FF"/>
      </x:patternFill>
    </x:fill>
    <x:fill>
      <x:patternFill patternType="solid">
        <x:fgColor rgb="FFF6F9FE"/>
      </x:patternFill>
    </x:fill>
    <x:fill>
      <x:patternFill patternType="solid">
        <x:fgColor rgb="FFF5F9FF"/>
      </x:patternFill>
    </x:fill>
  </x:fills>
  <x:borders count="2"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2" fillId="12" borderId="0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9" fillId="14" borderId="1" xfId="0" applyNumberFormat="1" applyFont="1" applyFill="1" applyBorder="1"/>
    <x:xf numFmtId="0" fontId="9" fillId="14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0" fillId="12" borderId="1" xfId="0" applyNumberFormat="1" applyFont="1" applyFill="1" applyBorder="1"/>
    <x:xf numFmtId="0" fontId="10" fillId="12" borderId="1" xfId="0" applyNumberFormat="1" applyFont="1" applyFill="1" applyBorder="1" applyAlignment="1">
      <x:alignment horizontal="center"/>
    </x:xf>
    <x:xf numFmtId="0" fontId="10" fillId="12" borderId="1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/>
    <x:xf numFmtId="0" fontId="12" fillId="15" borderId="1" xfId="0" applyNumberFormat="1" applyFont="1" applyFill="1" applyBorder="1"/>
    <x:xf numFmtId="0" fontId="12" fillId="15" borderId="1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0" fillId="16" borderId="1" xfId="0" applyNumberFormat="1" applyFont="1" applyFill="1" applyBorder="1"/>
    <x:xf numFmtId="0" fontId="8" fillId="16" borderId="1" xfId="0" applyNumberFormat="1" applyFont="1" applyFill="1" applyBorder="1"/>
    <x:xf numFmtId="0" fontId="8" fillId="16" borderId="1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horizontal="center"/>
    </x:xf>
    <x:xf numFmtId="0" fontId="0" fillId="17" borderId="1" xfId="0" applyNumberFormat="1" applyFont="1" applyFill="1" applyBorder="1"/>
    <x:xf numFmtId="0" fontId="8" fillId="17" borderId="1" xfId="0" applyNumberFormat="1" applyFont="1" applyFill="1" applyBorder="1"/>
    <x:xf numFmtId="0" fontId="8" fillId="17" borderId="1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/>
    </x:xf>
    <x:xf numFmtId="0" fontId="0" fillId="18" borderId="1" xfId="0" applyNumberFormat="1" applyFont="1" applyFill="1" applyBorder="1"/>
    <x:xf numFmtId="0" fontId="8" fillId="18" borderId="1" xfId="0" applyNumberFormat="1" applyFont="1" applyFill="1" applyBorder="1"/>
    <x:xf numFmtId="0" fontId="8" fillId="18" borderId="1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vertical="center"/>
    </x:xf>
    <x:xf numFmtId="0" fontId="0" fillId="19" borderId="1" xfId="0" applyNumberFormat="1" applyFont="1" applyFill="1" applyBorder="1"/>
    <x:xf numFmtId="0" fontId="2" fillId="19" borderId="1" xfId="0" applyNumberFormat="1" applyFont="1" applyFill="1" applyBorder="1"/>
    <x:xf numFmtId="0" fontId="2" fillId="19" borderId="1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0" borderId="1" xfId="0" applyNumberFormat="1" applyFont="1" applyFill="1" applyBorder="1"/>
    <x:xf numFmtId="0" fontId="2" fillId="20" borderId="1" xfId="0" applyNumberFormat="1" applyFont="1" applyFill="1" applyBorder="1"/>
    <x:xf numFmtId="0" fontId="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0" fillId="21" borderId="1" xfId="0" applyNumberFormat="1" applyFont="1" applyFill="1" applyBorder="1"/>
    <x:xf numFmtId="0" fontId="8" fillId="21" borderId="1" xfId="0" applyNumberFormat="1" applyFont="1" applyFill="1" applyBorder="1"/>
    <x:xf numFmtId="0" fontId="8" fillId="20" borderId="0" xfId="0" applyNumberFormat="1" applyFont="1" applyFill="1" applyBorder="1"/>
    <x:xf numFmtId="0" fontId="8" fillId="20" borderId="1" xfId="0" applyNumberFormat="1" applyFont="1" applyFill="1" applyBorder="1"/>
    <x:xf numFmtId="0" fontId="13" fillId="3" borderId="0" xfId="0" applyNumberFormat="1" applyFont="1" applyFill="1" applyBorder="1"/>
    <x:xf numFmtId="0" fontId="13" fillId="3" borderId="1" xfId="0" applyNumberFormat="1" applyFont="1" applyFill="1" applyBorder="1"/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0" fillId="22" borderId="1" xfId="0" applyNumberFormat="1" applyFont="1" applyFill="1" applyBorder="1"/>
    <x:xf numFmtId="0" fontId="14" fillId="22" borderId="1" xfId="0" applyNumberFormat="1" applyFont="1" applyFill="1" applyBorder="1"/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0" fillId="23" borderId="1" xfId="0" applyNumberFormat="1" applyFont="1" applyFill="1" applyBorder="1"/>
    <x:xf numFmtId="0" fontId="8" fillId="23" borderId="1" xfId="0" applyNumberFormat="1" applyFont="1" applyFill="1" applyBorder="1"/>
    <x:xf numFmtId="0" fontId="8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 wrapText="1"/>
    </x:xf>
    <x:xf numFmtId="0" fontId="8" fillId="16" borderId="1" xfId="0" applyNumberFormat="1" applyFont="1" applyFill="1" applyBorder="1" applyAlignment="1">
      <x:alignment wrapText="1"/>
    </x:xf>
    <x:xf numFmtId="0" fontId="8" fillId="16" borderId="1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7" borderId="1" xfId="0" applyNumberFormat="1" applyFont="1" applyFill="1" applyBorder="1" applyAlignment="1">
      <x:alignment wrapText="1"/>
    </x:xf>
    <x:xf numFmtId="0" fontId="8" fillId="17" borderId="1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18" borderId="1" xfId="0" applyNumberFormat="1" applyFont="1" applyFill="1" applyBorder="1" applyAlignment="1">
      <x:alignment wrapText="1"/>
    </x:xf>
    <x:xf numFmtId="0" fontId="8" fillId="18" borderId="1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24" borderId="0" xfId="0" applyNumberFormat="1" applyFont="1" applyFill="1" applyBorder="1" applyAlignment="1">
      <x:alignment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vertical="center" wrapText="1"/>
    </x:xf>
    <x:xf numFmtId="0" fontId="2" fillId="2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44c1ea5794f6d" /><Relationship Type="http://schemas.openxmlformats.org/officeDocument/2006/relationships/theme" Target="/xl/theme/theme1.xml" Id="R3ce1f584873046dc" /><Relationship Type="http://schemas.openxmlformats.org/officeDocument/2006/relationships/sharedStrings" Target="/xl/sharedStrings.xml" Id="R4482c7a9bd47493c" /><Relationship Type="http://schemas.openxmlformats.org/officeDocument/2006/relationships/worksheet" Target="/xl/worksheets/sheet1.xml" Id="Rf4e998b8426e49fa" /><Relationship Type="http://schemas.openxmlformats.org/officeDocument/2006/relationships/worksheet" Target="/xl/worksheets/sheet2.xml" Id="R138b0dca6dde475b" /><Relationship Type="http://schemas.openxmlformats.org/officeDocument/2006/relationships/worksheet" Target="/xl/worksheets/sheet3.xml" Id="R9c4404fb6d9448bb" /><Relationship Type="http://schemas.openxmlformats.org/officeDocument/2006/relationships/worksheet" Target="/xl/worksheets/sheet4.xml" Id="Rc981dafa3e2949dd" /><Relationship Type="http://schemas.openxmlformats.org/officeDocument/2006/relationships/worksheet" Target="/xl/worksheets/sheet5.xml" Id="R98ce4a822ce042ee" /><Relationship Type="http://schemas.openxmlformats.org/officeDocument/2006/relationships/worksheet" Target="/xl/worksheets/sheet6.xml" Id="Ree581592876e47f0" /></Relationships>
</file>

<file path=xl/tables/table1.xml><?xml version="1.0" encoding="utf-8"?>
<x:table xmlns:x="http://schemas.openxmlformats.org/spreadsheetml/2006/main" id="1" name="BacklogMatchPoint" displayName="BacklogMatchPoint" ref="A6:O78" headerRowCount="1" totalsRowCount="0" totalsRowShown="0">
  <x:tableColumns count="15">
    <x:tableColumn id="1" name="ID"/>
    <x:tableColumn id="2" name="Etapa del recorrido"/>
    <x:tableColumn id="3" name="Épica / módulo"/>
    <x:tableColumn id="4" name="Funcionalidad"/>
    <x:tableColumn id="5" name="Historia de usuario"/>
    <x:tableColumn id="6" name="MoSCoW"/>
    <x:tableColumn id="7" name="Entrega"/>
    <x:tableColumn id="8" name="Puntos (estim.)"/>
    <x:tableColumn id="9" name="Impacto (1–5)"/>
    <x:tableColumn id="10" name="Responsable propuesto"/>
    <x:tableColumn id="11" name="Estado"/>
    <x:tableColumn id="12" name="Dependencias"/>
    <x:tableColumn id="13" name="Tipo"/>
    <x:tableColumn id="14" name="Riesgo"/>
    <x:tableColumn id="15" name="Notas / control rele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MatchPoint" displayName="AcceptanceMatchPoint" ref="A6:G78" headerRowCount="1" totalsRowCount="0" totalsRowShown="0">
  <x:tableColumns count="7">
    <x:tableColumn id="1" name="ID"/>
    <x:tableColumn id="2" name="Funcionalidad"/>
    <x:tableColumn id="3" name="Criterio de aceptación 1"/>
    <x:tableColumn id="4" name="Criterio de aceptación 2"/>
    <x:tableColumn id="5" name="Criterio de aceptación 3 / caso crítico"/>
    <x:tableColumn id="6" name="Entrega"/>
    <x:tableColumn id="7" name="Área princip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97bf8e4bd442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764a438ac4d6a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52" customHeight="1">
      <x:c r="A1" s="57" t="str">
        <x:v>MATCHPOINT  /  TABLERO DEL PRODUCT BACKLOG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 ht="31" customHeight="1">
      <x:c r="A2" s="60" t="str">
        <x:v>NEXO DIGITAL LABS  ·  FASE DE INICIO  ·  4 integrantes  ·  Plan inicial sujeto a socialización con la docente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4" ht="24" customHeight="1">
      <x:c r="A4" s="64" t="str">
        <x:v>HISTORIAS TOTALES</x:v>
      </x:c>
      <x:c r="B4" s="64"/>
      <x:c r="C4" s="64"/>
      <x:c r="D4" s="64"/>
      <x:c r="E4" s="64" t="str">
        <x:v>PUNTOS ESTIMADOS</x:v>
      </x:c>
      <x:c r="F4" s="64"/>
      <x:c r="G4" s="64"/>
      <x:c r="H4" s="64"/>
      <x:c r="I4" s="64" t="str">
        <x:v>HISTORIAS FINALIZADAS</x:v>
      </x:c>
      <x:c r="J4" s="64"/>
      <x:c r="K4" s="64"/>
      <x:c r="L4" s="64"/>
    </x:row>
    <x:row r="5" ht="23" customHeight="1">
      <x:c r="A5" s="71" t="n">
        <x:f>COUNTA('01_Product_Backlog'!A7:A78)</x:f>
        <x:v>72</x:v>
      </x:c>
      <x:c r="B5" s="71"/>
      <x:c r="C5" s="71"/>
      <x:c r="D5" s="71"/>
      <x:c r="E5" s="71" t="n">
        <x:f>SUM('01_Product_Backlog'!H7:H78)</x:f>
        <x:v>361</x:v>
      </x:c>
      <x:c r="F5" s="71"/>
      <x:c r="G5" s="71"/>
      <x:c r="H5" s="71"/>
      <x:c r="I5" s="71" t="n">
        <x:f>COUNTIF('01_Product_Backlog'!K7:K78,"Terminado")</x:f>
        <x:v>0</x:v>
      </x:c>
      <x:c r="J5" s="71"/>
      <x:c r="K5" s="71"/>
      <x:c r="L5" s="71"/>
    </x:row>
    <x:row r="6" ht="23" customHeight="1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</x:row>
    <x:row r="8" ht="29" customHeight="1">
      <x:c r="A8" s="76" t="str">
        <x:v>PLAN POR ENTREGAS Y PRIORIDAD</x:v>
      </x:c>
      <x:c r="B8" s="76"/>
      <x:c r="C8" s="76"/>
      <x:c r="D8" s="76"/>
      <x:c r="E8" s="76"/>
      <x:c r="F8" s="76"/>
      <x:c r="G8" s="76"/>
      <x:c r="H8" s="76"/>
      <x:c r="I8" s="76"/>
      <x:c r="J8" s="76"/>
      <x:c r="K8" s="76"/>
      <x:c r="L8" s="76"/>
    </x:row>
    <x:row r="9" ht="26" customHeight="1">
      <x:c r="A9" s="80" t="str">
        <x:v>Entrega</x:v>
      </x:c>
      <x:c r="B9" s="80"/>
      <x:c r="C9" s="80"/>
      <x:c r="D9" s="80"/>
      <x:c r="E9" s="80" t="str">
        <x:v>Historias</x:v>
      </x:c>
      <x:c r="F9" s="80"/>
      <x:c r="G9" s="80" t="str">
        <x:v>Puntos</x:v>
      </x:c>
      <x:c r="H9" s="80"/>
      <x:c r="I9" s="80" t="str">
        <x:v>MoSCoW original</x:v>
      </x:c>
      <x:c r="J9" s="80"/>
      <x:c r="K9" s="80"/>
      <x:c r="L9" s="80"/>
    </x:row>
    <x:row r="10" ht="30" customHeight="1">
      <x:c r="A10" s="86" t="str">
        <x:v>E1 - MVP</x:v>
      </x:c>
      <x:c r="B10" s="86"/>
      <x:c r="C10" s="86"/>
      <x:c r="D10" s="86"/>
      <x:c r="E10" s="86" t="n">
        <x:f>COUNTIF('01_Product_Backlog'!G7:G78,"E1 - MVP")</x:f>
        <x:v>36</x:v>
      </x:c>
      <x:c r="F10" s="86"/>
      <x:c r="G10" s="86" t="n">
        <x:f>SUMIF('01_Product_Backlog'!G7:G78,"E1 - MVP",'01_Product_Backlog'!H7:H78)</x:f>
        <x:v>189</x:v>
      </x:c>
      <x:c r="H10" s="86"/>
      <x:c r="I10" s="86" t="str">
        <x:v>Must</x:v>
      </x:c>
      <x:c r="J10" s="86"/>
      <x:c r="K10" s="86"/>
      <x:c r="L10" s="86"/>
    </x:row>
    <x:row r="11" ht="30" customHeight="1">
      <x:c r="A11" s="92" t="str">
        <x:v>E2</x:v>
      </x:c>
      <x:c r="B11" s="92"/>
      <x:c r="C11" s="92"/>
      <x:c r="D11" s="92"/>
      <x:c r="E11" s="92" t="n">
        <x:f>COUNTIF('01_Product_Backlog'!G7:G78,"E2")</x:f>
        <x:v>24</x:v>
      </x:c>
      <x:c r="F11" s="92"/>
      <x:c r="G11" s="92" t="n">
        <x:f>SUMIF('01_Product_Backlog'!G7:G78,"E2",'01_Product_Backlog'!H7:H78)</x:f>
        <x:v>118</x:v>
      </x:c>
      <x:c r="H11" s="92"/>
      <x:c r="I11" s="92" t="str">
        <x:v>Should</x:v>
      </x:c>
      <x:c r="J11" s="92"/>
      <x:c r="K11" s="92"/>
      <x:c r="L11" s="92"/>
    </x:row>
    <x:row r="12" ht="30" customHeight="1">
      <x:c r="A12" s="98" t="str">
        <x:v>E3</x:v>
      </x:c>
      <x:c r="B12" s="98"/>
      <x:c r="C12" s="98"/>
      <x:c r="D12" s="98"/>
      <x:c r="E12" s="98" t="n">
        <x:f>COUNTIF('01_Product_Backlog'!G7:G78,"E3")</x:f>
        <x:v>12</x:v>
      </x:c>
      <x:c r="F12" s="98"/>
      <x:c r="G12" s="98" t="n">
        <x:f>SUMIF('01_Product_Backlog'!G7:G78,"E3",'01_Product_Backlog'!H7:H78)</x:f>
        <x:v>54</x:v>
      </x:c>
      <x:c r="H12" s="98"/>
      <x:c r="I12" s="98" t="str">
        <x:v>Could</x:v>
      </x:c>
      <x:c r="J12" s="98"/>
      <x:c r="K12" s="98"/>
      <x:c r="L12" s="98"/>
    </x:row>
    <x:row r="14" ht="28" customHeight="1">
      <x:c r="A14" s="76" t="str">
        <x:v>12 ÉPICAS / MÓDULOS FUNCIONALES Y TÉCNICOS</x:v>
      </x:c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</x:row>
    <x:row r="15" ht="30" customHeight="1">
      <x:c r="A15" s="104" t="str">
        <x:v>Identidad y permisos</x:v>
      </x:c>
      <x:c r="B15" s="104"/>
      <x:c r="C15" s="104"/>
      <x:c r="D15" s="104"/>
      <x:c r="E15" s="104"/>
      <x:c r="F15" s="104"/>
      <x:c r="G15" s="104" t="n">
        <x:f>COUNTIF('01_Product_Backlog'!C7:C78,A15)</x:f>
        <x:v>6</x:v>
      </x:c>
      <x:c r="H15" s="104"/>
      <x:c r="I15" s="104" t="str">
        <x:v>acceder a las funciones autorizadas sin exponer informa</x:v>
      </x:c>
      <x:c r="J15" s="104"/>
      <x:c r="K15" s="104"/>
      <x:c r="L15" s="104"/>
    </x:row>
    <x:row r="16" ht="30" customHeight="1">
      <x:c r="A16" s="110" t="str">
        <x:v>Gestión de torneos</x:v>
      </x:c>
      <x:c r="B16" s="110"/>
      <x:c r="C16" s="110"/>
      <x:c r="D16" s="110"/>
      <x:c r="E16" s="110"/>
      <x:c r="F16" s="110"/>
      <x:c r="G16" s="110" t="n">
        <x:f>COUNTIF('01_Product_Backlog'!C7:C78,A16)</x:f>
        <x:v>6</x:v>
      </x:c>
      <x:c r="H16" s="110"/>
      <x:c r="I16" s="110" t="str">
        <x:v>organizar competencias y mantener su información actual</x:v>
      </x:c>
      <x:c r="J16" s="110"/>
      <x:c r="K16" s="110"/>
      <x:c r="L16" s="110"/>
    </x:row>
    <x:row r="17" ht="30" customHeight="1">
      <x:c r="A17" s="104" t="str">
        <x:v>Programación de eventos</x:v>
      </x:c>
      <x:c r="B17" s="104"/>
      <x:c r="C17" s="104"/>
      <x:c r="D17" s="104"/>
      <x:c r="E17" s="104"/>
      <x:c r="F17" s="104"/>
      <x:c r="G17" s="104" t="n">
        <x:f>COUNTIF('01_Product_Backlog'!C7:C78,A17)</x:f>
        <x:v>6</x:v>
      </x:c>
      <x:c r="H17" s="104"/>
      <x:c r="I17" s="104" t="str">
        <x:v>definir encuentros válidos con periodos claros de parti</x:v>
      </x:c>
      <x:c r="J17" s="104"/>
      <x:c r="K17" s="104"/>
      <x:c r="L17" s="104"/>
    </x:row>
    <x:row r="18" ht="30" customHeight="1">
      <x:c r="A18" s="110" t="str">
        <x:v>Explorar torneos</x:v>
      </x:c>
      <x:c r="B18" s="110"/>
      <x:c r="C18" s="110"/>
      <x:c r="D18" s="110"/>
      <x:c r="E18" s="110"/>
      <x:c r="F18" s="110"/>
      <x:c r="G18" s="110" t="n">
        <x:f>COUNTIF('01_Product_Backlog'!C7:C78,A18)</x:f>
        <x:v>6</x:v>
      </x:c>
      <x:c r="H18" s="110"/>
      <x:c r="I18" s="110" t="str">
        <x:v>encontrar las competencias en las que puedo participar</x:v>
      </x:c>
      <x:c r="J18" s="110"/>
      <x:c r="K18" s="110"/>
      <x:c r="L18" s="110"/>
    </x:row>
    <x:row r="19" ht="30" customHeight="1">
      <x:c r="A19" s="104" t="str">
        <x:v>Consultar encuentros</x:v>
      </x:c>
      <x:c r="B19" s="104"/>
      <x:c r="C19" s="104"/>
      <x:c r="D19" s="104"/>
      <x:c r="E19" s="104"/>
      <x:c r="F19" s="104"/>
      <x:c r="G19" s="104" t="n">
        <x:f>COUNTIF('01_Product_Backlog'!C7:C78,A19)</x:f>
        <x:v>6</x:v>
      </x:c>
      <x:c r="H19" s="104"/>
      <x:c r="I19" s="104" t="str">
        <x:v>conocer las reglas, opciones y plazos antes de particip</x:v>
      </x:c>
      <x:c r="J19" s="104"/>
      <x:c r="K19" s="104"/>
      <x:c r="L19" s="104"/>
    </x:row>
    <x:row r="20" ht="30" customHeight="1">
      <x:c r="A20" s="110" t="str">
        <x:v>Registrar pronósticos</x:v>
      </x:c>
      <x:c r="B20" s="110"/>
      <x:c r="C20" s="110"/>
      <x:c r="D20" s="110"/>
      <x:c r="E20" s="110"/>
      <x:c r="F20" s="110"/>
      <x:c r="G20" s="110" t="n">
        <x:f>COUNTIF('01_Product_Backlog'!C7:C78,A20)</x:f>
        <x:v>6</x:v>
      </x:c>
      <x:c r="H20" s="110"/>
      <x:c r="I20" s="110" t="str">
        <x:v>participar correctamente y conservar evidencia de mi el</x:v>
      </x:c>
      <x:c r="J20" s="110"/>
      <x:c r="K20" s="110"/>
      <x:c r="L20" s="110"/>
    </x:row>
    <x:row r="21" ht="30" customHeight="1">
      <x:c r="A21" s="104" t="str">
        <x:v>Controlar créditos</x:v>
      </x:c>
      <x:c r="B21" s="104"/>
      <x:c r="C21" s="104"/>
      <x:c r="D21" s="104"/>
      <x:c r="E21" s="104"/>
      <x:c r="F21" s="104"/>
      <x:c r="G21" s="104" t="n">
        <x:f>COUNTIF('01_Product_Backlog'!C7:C78,A21)</x:f>
        <x:v>6</x:v>
      </x:c>
      <x:c r="H21" s="104"/>
      <x:c r="I21" s="104" t="str">
        <x:v>usar créditos virtuales de manera segura y verificable</x:v>
      </x:c>
      <x:c r="J21" s="104"/>
      <x:c r="K21" s="104"/>
      <x:c r="L21" s="104"/>
    </x:row>
    <x:row r="22" ht="30" customHeight="1">
      <x:c r="A22" s="110" t="str">
        <x:v>Operaciones confiables</x:v>
      </x:c>
      <x:c r="B22" s="110"/>
      <x:c r="C22" s="110"/>
      <x:c r="D22" s="110"/>
      <x:c r="E22" s="110"/>
      <x:c r="F22" s="110"/>
      <x:c r="G22" s="110" t="n">
        <x:f>COUNTIF('01_Product_Backlog'!C7:C78,A22)</x:f>
        <x:v>6</x:v>
      </x:c>
      <x:c r="H22" s="110"/>
      <x:c r="I22" s="110" t="str">
        <x:v>evitar descuentos duplicados y saldos inconsistentes</x:v>
      </x:c>
      <x:c r="J22" s="110"/>
      <x:c r="K22" s="110"/>
      <x:c r="L22" s="110"/>
    </x:row>
    <x:row r="23" ht="30" customHeight="1">
      <x:c r="A23" s="104" t="str">
        <x:v>Mi actividad e historial</x:v>
      </x:c>
      <x:c r="B23" s="104"/>
      <x:c r="C23" s="104"/>
      <x:c r="D23" s="104"/>
      <x:c r="E23" s="104"/>
      <x:c r="F23" s="104"/>
      <x:c r="G23" s="104" t="n">
        <x:f>COUNTIF('01_Product_Backlog'!C7:C78,A23)</x:f>
        <x:v>6</x:v>
      </x:c>
      <x:c r="H23" s="104"/>
      <x:c r="I23" s="104" t="str">
        <x:v>revisar mis participaciones, saldos y movimientos</x:v>
      </x:c>
      <x:c r="J23" s="104"/>
      <x:c r="K23" s="104"/>
      <x:c r="L23" s="104"/>
    </x:row>
    <x:row r="24" ht="30" customHeight="1">
      <x:c r="A24" s="110" t="str">
        <x:v>Publicar resultados</x:v>
      </x:c>
      <x:c r="B24" s="110"/>
      <x:c r="C24" s="110"/>
      <x:c r="D24" s="110"/>
      <x:c r="E24" s="110"/>
      <x:c r="F24" s="110"/>
      <x:c r="G24" s="110" t="n">
        <x:f>COUNTIF('01_Product_Backlog'!C7:C78,A24)</x:f>
        <x:v>6</x:v>
      </x:c>
      <x:c r="H24" s="110"/>
      <x:c r="I24" s="110" t="str">
        <x:v>confirmar los resultados oficiales de manera controlada</x:v>
      </x:c>
      <x:c r="J24" s="110"/>
      <x:c r="K24" s="110"/>
      <x:c r="L24" s="110"/>
    </x:row>
    <x:row r="25" ht="30" customHeight="1">
      <x:c r="A25" s="104" t="str">
        <x:v>Liquidar participaciones</x:v>
      </x:c>
      <x:c r="B25" s="104"/>
      <x:c r="C25" s="104"/>
      <x:c r="D25" s="104"/>
      <x:c r="E25" s="104"/>
      <x:c r="F25" s="104"/>
      <x:c r="G25" s="104" t="n">
        <x:f>COUNTIF('01_Product_Backlog'!C7:C78,A25)</x:f>
        <x:v>6</x:v>
      </x:c>
      <x:c r="H25" s="104"/>
      <x:c r="I25" s="104" t="str">
        <x:v>asignar premios correctos, una sola vez y con trazabili</x:v>
      </x:c>
      <x:c r="J25" s="104"/>
      <x:c r="K25" s="104"/>
      <x:c r="L25" s="104"/>
    </x:row>
    <x:row r="26" ht="30" customHeight="1">
      <x:c r="A26" s="110" t="str">
        <x:v>Auditoría y seguimiento</x:v>
      </x:c>
      <x:c r="B26" s="110"/>
      <x:c r="C26" s="110"/>
      <x:c r="D26" s="110"/>
      <x:c r="E26" s="110"/>
      <x:c r="F26" s="110"/>
      <x:c r="G26" s="110" t="n">
        <x:f>COUNTIF('01_Product_Backlog'!C7:C78,A26)</x:f>
        <x:v>6</x:v>
      </x:c>
      <x:c r="H26" s="110"/>
      <x:c r="I26" s="110" t="str">
        <x:v>verificar operaciones y detectar posibles inconsistenci</x:v>
      </x:c>
      <x:c r="J26" s="110"/>
      <x:c r="K26" s="110"/>
      <x:c r="L26" s="110"/>
    </x:row>
    <x:row r="29" ht="28" customHeight="1">
      <x:c r="A29" s="76" t="str">
        <x:v>CONDICIONES INNEGOCIABLES DE MATCHPOINT</x:v>
      </x:c>
      <x:c r="B29" s="76"/>
      <x:c r="C29" s="76"/>
      <x:c r="D29" s="76"/>
      <x:c r="E29" s="76"/>
      <x:c r="F29" s="76"/>
      <x:c r="G29" s="76"/>
      <x:c r="H29" s="76"/>
      <x:c r="I29" s="76"/>
      <x:c r="J29" s="76"/>
      <x:c r="K29" s="76"/>
      <x:c r="L29" s="76"/>
    </x:row>
    <x:row r="30" ht="27" customHeight="1">
      <x:c r="A30" s="115" t="str">
        <x:v>•  Créditos únicamente virtuales: sin conversión a dinero ni retiros.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 ht="27" customHeight="1">
      <x:c r="A31" s="118" t="str">
        <x:v>•  Impedir saldos negativos, cargos duplicados y abonos repetidos.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</x:row>
    <x:row r="32" ht="27" customHeight="1">
      <x:c r="A32" s="115" t="str">
        <x:v>•  No aceptar pronósticos fuera de plazo ni opciones inválidas.</x:v>
      </x:c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</x:row>
    <x:row r="33" ht="27" customHeight="1">
      <x:c r="A33" s="118" t="str">
        <x:v>•  Mantener permisos y privacidad de los datos de cada cuenta.</x:v>
      </x:c>
      <x:c r="B33" s="118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</x:row>
    <x:row r="34" ht="27" customHeight="1">
      <x:c r="A34" s="115" t="str">
        <x:v>•  Registrar movimientos verificables y conservar historial en ajustes y reversiones.</x:v>
      </x:c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</x:row>
    <x:row r="35" ht="27" customHeight="1">
      <x:c r="A35" s="118" t="str">
        <x:v>•  Controlar solicitudes concurrentes y operaciones fallidas.</x:v>
      </x:c>
      <x:c r="B35" s="118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</x:row>
    <x:row r="37" ht="33" customHeight="1">
      <x:c r="A37" s="120" t="str">
        <x:v>EQUIPO PROPUESTO: Santiago Solano · Scrum Master  |  Maicol Rubiano · Backend Developer  |  Diego Romero · Frontend Developer  |  Camilo Bastias · DBA</x:v>
      </x:c>
      <x:c r="B37" s="120"/>
      <x:c r="C37" s="120"/>
      <x:c r="D37" s="120"/>
      <x:c r="E37" s="120"/>
      <x:c r="F37" s="120"/>
      <x:c r="G37" s="120"/>
      <x:c r="H37" s="120"/>
      <x:c r="I37" s="120"/>
      <x:c r="J37" s="120"/>
      <x:c r="K37" s="120"/>
      <x:c r="L37" s="120"/>
    </x:row>
    <x:row r="38" ht="30" customHeight="1">
      <x:c r="A38" s="123" t="str">
        <x:v>AVISO: los 72 ítems vienen del mapa de historias; estimaciones, asignaciones y alcance por entrega deben confirmarse con docente y equipo.</x:v>
      </x:c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</x:row>
  </x:sheetData>
  <x:mergeCells>
    <x:mergeCell ref="A1:L1"/>
    <x:mergeCell ref="A2:L2"/>
    <x:mergeCell ref="A4:D4"/>
    <x:mergeCell ref="E4:H4"/>
    <x:mergeCell ref="I4:L4"/>
    <x:mergeCell ref="A5:D6"/>
    <x:mergeCell ref="E5:H6"/>
    <x:mergeCell ref="I5:L6"/>
    <x:mergeCell ref="A8:L8"/>
    <x:mergeCell ref="A9:D9"/>
    <x:mergeCell ref="E9:F9"/>
    <x:mergeCell ref="G9:H9"/>
    <x:mergeCell ref="I9:L9"/>
    <x:mergeCell ref="A10:D10"/>
    <x:mergeCell ref="E10:F10"/>
    <x:mergeCell ref="G10:H10"/>
    <x:mergeCell ref="I10:L10"/>
    <x:mergeCell ref="A11:D11"/>
    <x:mergeCell ref="E11:F11"/>
    <x:mergeCell ref="G11:H11"/>
    <x:mergeCell ref="I11:L11"/>
    <x:mergeCell ref="A12:D12"/>
    <x:mergeCell ref="E12:F12"/>
    <x:mergeCell ref="G12:H12"/>
    <x:mergeCell ref="I12:L12"/>
    <x:mergeCell ref="A14:L14"/>
    <x:mergeCell ref="A15:F15"/>
    <x:mergeCell ref="G15:H15"/>
    <x:mergeCell ref="I15:L15"/>
    <x:mergeCell ref="A16:F16"/>
    <x:mergeCell ref="G16:H16"/>
    <x:mergeCell ref="I16:L16"/>
    <x:mergeCell ref="A17:F17"/>
    <x:mergeCell ref="G17:H17"/>
    <x:mergeCell ref="I17:L17"/>
    <x:mergeCell ref="A18:F18"/>
    <x:mergeCell ref="G18:H18"/>
    <x:mergeCell ref="I18:L18"/>
    <x:mergeCell ref="A19:F19"/>
    <x:mergeCell ref="G19:H19"/>
    <x:mergeCell ref="I19:L19"/>
    <x:mergeCell ref="A20:F20"/>
    <x:mergeCell ref="G20:H20"/>
    <x:mergeCell ref="I20:L20"/>
    <x:mergeCell ref="A21:F21"/>
    <x:mergeCell ref="G21:H21"/>
    <x:mergeCell ref="I21:L21"/>
    <x:mergeCell ref="A22:F22"/>
    <x:mergeCell ref="G22:H22"/>
    <x:mergeCell ref="I22:L22"/>
    <x:mergeCell ref="A23:F23"/>
    <x:mergeCell ref="G23:H23"/>
    <x:mergeCell ref="I23:L23"/>
    <x:mergeCell ref="A24:F24"/>
    <x:mergeCell ref="G24:H24"/>
    <x:mergeCell ref="I24:L24"/>
    <x:mergeCell ref="A25:F25"/>
    <x:mergeCell ref="G25:H25"/>
    <x:mergeCell ref="I25:L25"/>
    <x:mergeCell ref="A26:F26"/>
    <x:mergeCell ref="G26:H26"/>
    <x:mergeCell ref="I26:L26"/>
    <x:mergeCell ref="A29:L29"/>
    <x:mergeCell ref="A30:L30"/>
    <x:mergeCell ref="A31:L31"/>
    <x:mergeCell ref="A32:L32"/>
    <x:mergeCell ref="A33:L33"/>
    <x:mergeCell ref="A34:L34"/>
    <x:mergeCell ref="A35:L35"/>
    <x:mergeCell ref="A37:L37"/>
    <x:mergeCell ref="A38:L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7" hidden="0" customWidth="1"/>
    <x:col min="4" max="4" width="30" hidden="0" customWidth="1"/>
    <x:col min="5" max="5" width="5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7" hidden="0" customWidth="1"/>
    <x:col min="11" max="11" width="18" hidden="0" customWidth="1"/>
    <x:col min="12" max="12" width="24" hidden="0" customWidth="1"/>
    <x:col min="13" max="13" width="15" hidden="0" customWidth="1"/>
    <x:col min="14" max="14" width="12" hidden="0" customWidth="1"/>
    <x:col min="15" max="15" width="48" hidden="0" customWidth="1"/>
  </x:cols>
  <x:sheetData>
    <x:row r="1" ht="44" customHeight="1">
      <x:c r="A1" s="4" t="str">
        <x:v>MATCHPOINT  |  PRODUCT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10" t="str">
        <x:v>Nexo Digital Labs · Propuesta inicial · Referencia común con el User Story Map MP-001 a MP-072 · Validación pendiente con docente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 ht="26" customHeight="1">
      <x:c r="A3" s="15" t="str">
        <x:v>INSTRUCCIÓN: Filtra por MoSCoW o Entrega; ajusta Estado, Responsable, Puntos e Impacto una vez que el equipo acuerde el plan.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 ht="24" customHeight="1">
      <x:c r="A4" s="19" t="str">
        <x:v>Los responsables, estimaciones y entregas son propuestas. No equivalen a trabajo realizado; todas las historias comienzan Pendiente.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 ht="10" customHeight="1"/>
    <x:row r="6" ht="35" customHeight="1">
      <x:c r="A6" s="24" t="str">
        <x:v>ID</x:v>
      </x:c>
      <x:c r="B6" s="24" t="str">
        <x:v>Etapa del recorrido</x:v>
      </x:c>
      <x:c r="C6" s="24" t="str">
        <x:v>Épica / módulo</x:v>
      </x:c>
      <x:c r="D6" s="24" t="str">
        <x:v>Funcionalidad</x:v>
      </x:c>
      <x:c r="E6" s="24" t="str">
        <x:v>Historia de usuario</x:v>
      </x:c>
      <x:c r="F6" s="24" t="str">
        <x:v>MoSCoW</x:v>
      </x:c>
      <x:c r="G6" s="24" t="str">
        <x:v>Entrega</x:v>
      </x:c>
      <x:c r="H6" s="24" t="str">
        <x:v>Puntos (estim.)</x:v>
      </x:c>
      <x:c r="I6" s="24" t="str">
        <x:v>Impacto (1–5)</x:v>
      </x:c>
      <x:c r="J6" s="24" t="str">
        <x:v>Responsable propuesto</x:v>
      </x:c>
      <x:c r="K6" s="24" t="str">
        <x:v>Estado</x:v>
      </x:c>
      <x:c r="L6" s="24" t="str">
        <x:v>Dependencias</x:v>
      </x:c>
      <x:c r="M6" s="24" t="str">
        <x:v>Tipo</x:v>
      </x:c>
      <x:c r="N6" s="24" t="str">
        <x:v>Riesgo</x:v>
      </x:c>
      <x:c r="O6" s="24" t="str">
        <x:v>Notas / control relevante</x:v>
      </x:c>
    </x:row>
    <x:row r="7" ht="57" customHeight="1">
      <x:c r="A7" s="30" t="str">
        <x:v>MP-001</x:v>
      </x:c>
      <x:c r="B7" s="30" t="str">
        <x:v>Administración de competencias</x:v>
      </x:c>
      <x:c r="C7" s="30" t="str">
        <x:v>Identidad y permisos</x:v>
      </x:c>
      <x:c r="D7" s="30" t="str">
        <x:v>Identificar a cada usuario</x:v>
      </x:c>
      <x:c r="E7" s="30" t="str">
        <x:v>Como responsable de la plataforma, quiero identificar a cada usuario para acceder a las funciones autorizadas sin exponer información de otras cuentas.</x:v>
      </x:c>
      <x:c r="F7" s="36" t="str">
        <x:v>Must</x:v>
      </x:c>
      <x:c r="G7" s="34" t="str">
        <x:v>E1 - MVP</x:v>
      </x:c>
      <x:c r="H7" s="34" t="n">
        <x:v>3</x:v>
      </x:c>
      <x:c r="I7" s="34" t="n">
        <x:v>4</x:v>
      </x:c>
      <x:c r="J7" s="30" t="str">
        <x:v>Maicol Rubiano · Backend Developer</x:v>
      </x:c>
      <x:c r="K7" s="34" t="str">
        <x:v>Pendiente</x:v>
      </x:c>
      <x:c r="L7" s="30" t="str">
        <x:v>Ninguna</x:v>
      </x:c>
      <x:c r="M7" s="30" t="str">
        <x:v>Funcional</x:v>
      </x:c>
      <x:c r="N7" s="30" t="str">
        <x:v>Medio</x:v>
      </x:c>
      <x:c r="O7" s="30" t="str"/>
    </x:row>
    <x:row r="8" ht="57" customHeight="1">
      <x:c r="A8" s="38" t="str">
        <x:v>MP-002</x:v>
      </x:c>
      <x:c r="B8" s="38" t="str">
        <x:v>Administración de competencias</x:v>
      </x:c>
      <x:c r="C8" s="38" t="str">
        <x:v>Identidad y permisos</x:v>
      </x:c>
      <x:c r="D8" s="38" t="str">
        <x:v>Autenticar el acceso</x:v>
      </x:c>
      <x:c r="E8" s="38" t="str">
        <x:v>Como participante, quiero autenticar el acceso para acceder a las funciones autorizadas sin exponer información de otras cuentas.</x:v>
      </x:c>
      <x:c r="F8" s="36" t="str">
        <x:v>Must</x:v>
      </x:c>
      <x:c r="G8" s="39" t="str">
        <x:v>E1 - MVP</x:v>
      </x:c>
      <x:c r="H8" s="39" t="n">
        <x:v>5</x:v>
      </x:c>
      <x:c r="I8" s="39" t="n">
        <x:v>5</x:v>
      </x:c>
      <x:c r="J8" s="38" t="str">
        <x:v>Maicol Rubiano · Backend Developer</x:v>
      </x:c>
      <x:c r="K8" s="39" t="str">
        <x:v>Pendiente</x:v>
      </x:c>
      <x:c r="L8" s="38" t="str">
        <x:v>MP-001</x:v>
      </x:c>
      <x:c r="M8" s="38" t="str">
        <x:v>Funcional</x:v>
      </x:c>
      <x:c r="N8" s="38" t="str">
        <x:v>Medio</x:v>
      </x:c>
      <x:c r="O8" s="38" t="str"/>
    </x:row>
    <x:row r="9" ht="57" customHeight="1">
      <x:c r="A9" s="30" t="str">
        <x:v>MP-003</x:v>
      </x:c>
      <x:c r="B9" s="30" t="str">
        <x:v>Administración de competencias</x:v>
      </x:c>
      <x:c r="C9" s="30" t="str">
        <x:v>Identidad y permisos</x:v>
      </x:c>
      <x:c r="D9" s="30" t="str">
        <x:v>Restringir funciones por rol</x:v>
      </x:c>
      <x:c r="E9" s="30" t="str">
        <x:v>Como administrador, quiero restringir funciones por rol para acceder a las funciones autorizadas sin exponer información de otras cuentas.</x:v>
      </x:c>
      <x:c r="F9" s="36" t="str">
        <x:v>Must</x:v>
      </x:c>
      <x:c r="G9" s="34" t="str">
        <x:v>E1 - MVP</x:v>
      </x:c>
      <x:c r="H9" s="34" t="n">
        <x:v>5</x:v>
      </x:c>
      <x:c r="I9" s="34" t="n">
        <x:v>5</x:v>
      </x:c>
      <x:c r="J9" s="30" t="str">
        <x:v>Maicol Rubiano · Backend Developer</x:v>
      </x:c>
      <x:c r="K9" s="34" t="str">
        <x:v>Pendiente</x:v>
      </x:c>
      <x:c r="L9" s="30" t="str">
        <x:v>MP-002</x:v>
      </x:c>
      <x:c r="M9" s="30" t="str">
        <x:v>Técnica</x:v>
      </x:c>
      <x:c r="N9" s="42" t="str">
        <x:v>Alto</x:v>
      </x:c>
      <x:c r="O9" s="30" t="str">
        <x:v>Incluye control de acceso a información privada desde el MVP; profundización en MP-005.</x:v>
      </x:c>
    </x:row>
    <x:row r="10" ht="57" customHeight="1">
      <x:c r="A10" s="38" t="str">
        <x:v>MP-004</x:v>
      </x:c>
      <x:c r="B10" s="38" t="str">
        <x:v>Administración de competencias</x:v>
      </x:c>
      <x:c r="C10" s="38" t="str">
        <x:v>Identidad y permisos</x:v>
      </x:c>
      <x:c r="D10" s="38" t="str">
        <x:v>Consultar mi perfil</x:v>
      </x:c>
      <x:c r="E10" s="38" t="str">
        <x:v>Como participante, quiero consultar mi perfil para acceder a las funciones autorizadas sin exponer información de otras cuentas.</x:v>
      </x:c>
      <x:c r="F10" s="44" t="str">
        <x:v>Should</x:v>
      </x:c>
      <x:c r="G10" s="39" t="str">
        <x:v>E2</x:v>
      </x:c>
      <x:c r="H10" s="39" t="n">
        <x:v>3</x:v>
      </x:c>
      <x:c r="I10" s="39" t="n">
        <x:v>3</x:v>
      </x:c>
      <x:c r="J10" s="38" t="str">
        <x:v>Maicol Rubiano · Backend Developer</x:v>
      </x:c>
      <x:c r="K10" s="39" t="str">
        <x:v>Pendiente</x:v>
      </x:c>
      <x:c r="L10" s="38" t="str">
        <x:v>MP-002</x:v>
      </x:c>
      <x:c r="M10" s="38" t="str">
        <x:v>Funcional</x:v>
      </x:c>
      <x:c r="N10" s="38" t="str">
        <x:v>Medio</x:v>
      </x:c>
      <x:c r="O10" s="38" t="str"/>
    </x:row>
    <x:row r="11" ht="57" customHeight="1">
      <x:c r="A11" s="30" t="str">
        <x:v>MP-005</x:v>
      </x:c>
      <x:c r="B11" s="30" t="str">
        <x:v>Administración de competencias</x:v>
      </x:c>
      <x:c r="C11" s="30" t="str">
        <x:v>Identidad y permisos</x:v>
      </x:c>
      <x:c r="D11" s="30" t="str">
        <x:v>Proteger información ajena</x:v>
      </x:c>
      <x:c r="E11" s="30" t="str">
        <x:v>Como participante, quiero proteger información ajena para acceder a las funciones autorizadas sin exponer información de otras cuentas.</x:v>
      </x:c>
      <x:c r="F11" s="44" t="str">
        <x:v>Should</x:v>
      </x:c>
      <x:c r="G11" s="34" t="str">
        <x:v>E2</x:v>
      </x:c>
      <x:c r="H11" s="34" t="n">
        <x:v>5</x:v>
      </x:c>
      <x:c r="I11" s="34" t="n">
        <x:v>4</x:v>
      </x:c>
      <x:c r="J11" s="30" t="str">
        <x:v>Maicol Rubiano · Backend Developer</x:v>
      </x:c>
      <x:c r="K11" s="34" t="str">
        <x:v>Pendiente</x:v>
      </x:c>
      <x:c r="L11" s="30" t="str">
        <x:v>MP-002, MP-003</x:v>
      </x:c>
      <x:c r="M11" s="30" t="str">
        <x:v>Técnica</x:v>
      </x:c>
      <x:c r="N11" s="42" t="str">
        <x:v>Alto</x:v>
      </x:c>
      <x:c r="O11" s="30" t="str">
        <x:v>Aunque el mapa la ubica en E2, la privacidad mínima ya debe existir en E1 (MP-003, MP-050, MP-051).</x:v>
      </x:c>
    </x:row>
    <x:row r="12" ht="57" customHeight="1">
      <x:c r="A12" s="38" t="str">
        <x:v>MP-006</x:v>
      </x:c>
      <x:c r="B12" s="38" t="str">
        <x:v>Administración de competencias</x:v>
      </x:c>
      <x:c r="C12" s="38" t="str">
        <x:v>Identidad y permisos</x:v>
      </x:c>
      <x:c r="D12" s="38" t="str">
        <x:v>Gestionar permisos autorizados</x:v>
      </x:c>
      <x:c r="E12" s="38" t="str">
        <x:v>Como administrador, quiero gestionar permisos autorizados para acceder a las funciones autorizadas sin exponer información de otras cuentas.</x:v>
      </x:c>
      <x:c r="F12" s="46" t="str">
        <x:v>Could</x:v>
      </x:c>
      <x:c r="G12" s="39" t="str">
        <x:v>E3</x:v>
      </x:c>
      <x:c r="H12" s="39" t="n">
        <x:v>3</x:v>
      </x:c>
      <x:c r="I12" s="39" t="n">
        <x:v>2</x:v>
      </x:c>
      <x:c r="J12" s="38" t="str">
        <x:v>Maicol Rubiano · Backend Developer</x:v>
      </x:c>
      <x:c r="K12" s="39" t="str">
        <x:v>Pendiente</x:v>
      </x:c>
      <x:c r="L12" s="38" t="str">
        <x:v>MP-003</x:v>
      </x:c>
      <x:c r="M12" s="38" t="str">
        <x:v>Funcional</x:v>
      </x:c>
      <x:c r="N12" s="38" t="str">
        <x:v>Bajo</x:v>
      </x:c>
      <x:c r="O12" s="38" t="str"/>
    </x:row>
    <x:row r="13" ht="57" customHeight="1">
      <x:c r="A13" s="30" t="str">
        <x:v>MP-007</x:v>
      </x:c>
      <x:c r="B13" s="30" t="str">
        <x:v>Administración de competencias</x:v>
      </x:c>
      <x:c r="C13" s="30" t="str">
        <x:v>Gestión de torneos</x:v>
      </x:c>
      <x:c r="D13" s="30" t="str">
        <x:v>Crear torneo deportivo</x:v>
      </x:c>
      <x:c r="E13" s="30" t="str">
        <x:v>Como administrador, quiero crear torneo deportivo para organizar competencias y mantener su información actualizada.</x:v>
      </x:c>
      <x:c r="F13" s="36" t="str">
        <x:v>Must</x:v>
      </x:c>
      <x:c r="G13" s="34" t="str">
        <x:v>E1 - MVP</x:v>
      </x:c>
      <x:c r="H13" s="34" t="n">
        <x:v>5</x:v>
      </x:c>
      <x:c r="I13" s="34" t="n">
        <x:v>4</x:v>
      </x:c>
      <x:c r="J13" s="30" t="str">
        <x:v>Maicol Rubiano · Backend Developer</x:v>
      </x:c>
      <x:c r="K13" s="34" t="str">
        <x:v>Pendiente</x:v>
      </x:c>
      <x:c r="L13" s="30" t="str">
        <x:v>MP-003</x:v>
      </x:c>
      <x:c r="M13" s="30" t="str">
        <x:v>Funcional</x:v>
      </x:c>
      <x:c r="N13" s="30" t="str">
        <x:v>Medio</x:v>
      </x:c>
      <x:c r="O13" s="30" t="str"/>
    </x:row>
    <x:row r="14" ht="57" customHeight="1">
      <x:c r="A14" s="38" t="str">
        <x:v>MP-008</x:v>
      </x:c>
      <x:c r="B14" s="38" t="str">
        <x:v>Administración de competencias</x:v>
      </x:c>
      <x:c r="C14" s="38" t="str">
        <x:v>Gestión de torneos</x:v>
      </x:c>
      <x:c r="D14" s="38" t="str">
        <x:v>Registrar participantes</x:v>
      </x:c>
      <x:c r="E14" s="38" t="str">
        <x:v>Como administrador, quiero registrar participantes para organizar competencias y mantener su información actualizada.</x:v>
      </x:c>
      <x:c r="F14" s="36" t="str">
        <x:v>Must</x:v>
      </x:c>
      <x:c r="G14" s="39" t="str">
        <x:v>E1 - MVP</x:v>
      </x:c>
      <x:c r="H14" s="39" t="n">
        <x:v>3</x:v>
      </x:c>
      <x:c r="I14" s="39" t="n">
        <x:v>4</x:v>
      </x:c>
      <x:c r="J14" s="38" t="str">
        <x:v>Maicol Rubiano · Backend Developer</x:v>
      </x:c>
      <x:c r="K14" s="39" t="str">
        <x:v>Pendiente</x:v>
      </x:c>
      <x:c r="L14" s="38" t="str">
        <x:v>MP-007, MP-001</x:v>
      </x:c>
      <x:c r="M14" s="38" t="str">
        <x:v>Funcional</x:v>
      </x:c>
      <x:c r="N14" s="38" t="str">
        <x:v>Medio</x:v>
      </x:c>
      <x:c r="O14" s="38" t="str"/>
    </x:row>
    <x:row r="15" ht="57" customHeight="1">
      <x:c r="A15" s="30" t="str">
        <x:v>MP-009</x:v>
      </x:c>
      <x:c r="B15" s="30" t="str">
        <x:v>Administración de competencias</x:v>
      </x:c>
      <x:c r="C15" s="30" t="str">
        <x:v>Gestión de torneos</x:v>
      </x:c>
      <x:c r="D15" s="30" t="str">
        <x:v>Consultar torneos creados</x:v>
      </x:c>
      <x:c r="E15" s="30" t="str">
        <x:v>Como administrador, quiero consultar torneos creados para organizar competencias y mantener su información actualizada.</x:v>
      </x:c>
      <x:c r="F15" s="36" t="str">
        <x:v>Must</x:v>
      </x:c>
      <x:c r="G15" s="34" t="str">
        <x:v>E1 - MVP</x:v>
      </x:c>
      <x:c r="H15" s="34" t="n">
        <x:v>3</x:v>
      </x:c>
      <x:c r="I15" s="34" t="n">
        <x:v>4</x:v>
      </x:c>
      <x:c r="J15" s="30" t="str">
        <x:v>Maicol Rubiano · Backend Developer</x:v>
      </x:c>
      <x:c r="K15" s="34" t="str">
        <x:v>Pendiente</x:v>
      </x:c>
      <x:c r="L15" s="30" t="str">
        <x:v>MP-007</x:v>
      </x:c>
      <x:c r="M15" s="30" t="str">
        <x:v>Funcional</x:v>
      </x:c>
      <x:c r="N15" s="30" t="str">
        <x:v>Bajo</x:v>
      </x:c>
      <x:c r="O15" s="30" t="str"/>
    </x:row>
    <x:row r="16" ht="57" customHeight="1">
      <x:c r="A16" s="38" t="str">
        <x:v>MP-010</x:v>
      </x:c>
      <x:c r="B16" s="38" t="str">
        <x:v>Administración de competencias</x:v>
      </x:c>
      <x:c r="C16" s="38" t="str">
        <x:v>Gestión de torneos</x:v>
      </x:c>
      <x:c r="D16" s="38" t="str">
        <x:v>Modificar datos del torneo</x:v>
      </x:c>
      <x:c r="E16" s="38" t="str">
        <x:v>Como administrador, quiero modificar datos del torneo para organizar competencias y mantener su información actualizada.</x:v>
      </x:c>
      <x:c r="F16" s="44" t="str">
        <x:v>Should</x:v>
      </x:c>
      <x:c r="G16" s="39" t="str">
        <x:v>E2</x:v>
      </x:c>
      <x:c r="H16" s="39" t="n">
        <x:v>3</x:v>
      </x:c>
      <x:c r="I16" s="39" t="n">
        <x:v>3</x:v>
      </x:c>
      <x:c r="J16" s="38" t="str">
        <x:v>Maicol Rubiano · Backend Developer</x:v>
      </x:c>
      <x:c r="K16" s="39" t="str">
        <x:v>Pendiente</x:v>
      </x:c>
      <x:c r="L16" s="38" t="str">
        <x:v>MP-007</x:v>
      </x:c>
      <x:c r="M16" s="38" t="str">
        <x:v>Funcional</x:v>
      </x:c>
      <x:c r="N16" s="38" t="str">
        <x:v>Medio</x:v>
      </x:c>
      <x:c r="O16" s="38" t="str"/>
    </x:row>
    <x:row r="17" ht="57" customHeight="1">
      <x:c r="A17" s="30" t="str">
        <x:v>MP-011</x:v>
      </x:c>
      <x:c r="B17" s="30" t="str">
        <x:v>Administración de competencias</x:v>
      </x:c>
      <x:c r="C17" s="30" t="str">
        <x:v>Gestión de torneos</x:v>
      </x:c>
      <x:c r="D17" s="30" t="str">
        <x:v>Administrar estado del torneo</x:v>
      </x:c>
      <x:c r="E17" s="30" t="str">
        <x:v>Como administrador, quiero administrar estado del torneo para organizar competencias y mantener su información actualizada.</x:v>
      </x:c>
      <x:c r="F17" s="44" t="str">
        <x:v>Should</x:v>
      </x:c>
      <x:c r="G17" s="34" t="str">
        <x:v>E2</x:v>
      </x:c>
      <x:c r="H17" s="34" t="n">
        <x:v>3</x:v>
      </x:c>
      <x:c r="I17" s="34" t="n">
        <x:v>3</x:v>
      </x:c>
      <x:c r="J17" s="30" t="str">
        <x:v>Maicol Rubiano · Backend Developer</x:v>
      </x:c>
      <x:c r="K17" s="34" t="str">
        <x:v>Pendiente</x:v>
      </x:c>
      <x:c r="L17" s="30" t="str">
        <x:v>MP-007, MP-013</x:v>
      </x:c>
      <x:c r="M17" s="30" t="str">
        <x:v>Funcional</x:v>
      </x:c>
      <x:c r="N17" s="30" t="str">
        <x:v>Medio</x:v>
      </x:c>
      <x:c r="O17" s="30" t="str"/>
    </x:row>
    <x:row r="18" ht="57" customHeight="1">
      <x:c r="A18" s="38" t="str">
        <x:v>MP-012</x:v>
      </x:c>
      <x:c r="B18" s="38" t="str">
        <x:v>Administración de competencias</x:v>
      </x:c>
      <x:c r="C18" s="38" t="str">
        <x:v>Gestión de torneos</x:v>
      </x:c>
      <x:c r="D18" s="38" t="str">
        <x:v>Admitir torneos diferentes</x:v>
      </x:c>
      <x:c r="E18" s="38" t="str">
        <x:v>Como administrador, quiero admitir torneos diferentes para organizar competencias y mantener su información actualizada.</x:v>
      </x:c>
      <x:c r="F18" s="46" t="str">
        <x:v>Could</x:v>
      </x:c>
      <x:c r="G18" s="39" t="str">
        <x:v>E3</x:v>
      </x:c>
      <x:c r="H18" s="39" t="n">
        <x:v>3</x:v>
      </x:c>
      <x:c r="I18" s="39" t="n">
        <x:v>2</x:v>
      </x:c>
      <x:c r="J18" s="38" t="str">
        <x:v>Maicol Rubiano · Backend Developer</x:v>
      </x:c>
      <x:c r="K18" s="39" t="str">
        <x:v>Pendiente</x:v>
      </x:c>
      <x:c r="L18" s="38" t="str">
        <x:v>MP-007</x:v>
      </x:c>
      <x:c r="M18" s="38" t="str">
        <x:v>Funcional</x:v>
      </x:c>
      <x:c r="N18" s="38" t="str">
        <x:v>Bajo</x:v>
      </x:c>
      <x:c r="O18" s="38" t="str"/>
    </x:row>
    <x:row r="19" ht="57" customHeight="1">
      <x:c r="A19" s="30" t="str">
        <x:v>MP-013</x:v>
      </x:c>
      <x:c r="B19" s="30" t="str">
        <x:v>Administración de competencias</x:v>
      </x:c>
      <x:c r="C19" s="30" t="str">
        <x:v>Programación de eventos</x:v>
      </x:c>
      <x:c r="D19" s="30" t="str">
        <x:v>Agregar evento a un torneo</x:v>
      </x:c>
      <x:c r="E19" s="30" t="str">
        <x:v>Como administrador, quiero agregar evento a un torneo para definir encuentros válidos con periodos claros de participación.</x:v>
      </x:c>
      <x:c r="F19" s="36" t="str">
        <x:v>Must</x:v>
      </x:c>
      <x:c r="G19" s="34" t="str">
        <x:v>E1 - MVP</x:v>
      </x:c>
      <x:c r="H19" s="34" t="n">
        <x:v>5</x:v>
      </x:c>
      <x:c r="I19" s="34" t="n">
        <x:v>4</x:v>
      </x:c>
      <x:c r="J19" s="30" t="str">
        <x:v>Maicol Rubiano · Backend Developer</x:v>
      </x:c>
      <x:c r="K19" s="34" t="str">
        <x:v>Pendiente</x:v>
      </x:c>
      <x:c r="L19" s="30" t="str">
        <x:v>MP-007</x:v>
      </x:c>
      <x:c r="M19" s="30" t="str">
        <x:v>Funcional</x:v>
      </x:c>
      <x:c r="N19" s="30" t="str">
        <x:v>Medio</x:v>
      </x:c>
      <x:c r="O19" s="30" t="str"/>
    </x:row>
    <x:row r="20" ht="57" customHeight="1">
      <x:c r="A20" s="38" t="str">
        <x:v>MP-014</x:v>
      </x:c>
      <x:c r="B20" s="38" t="str">
        <x:v>Administración de competencias</x:v>
      </x:c>
      <x:c r="C20" s="38" t="str">
        <x:v>Programación de eventos</x:v>
      </x:c>
      <x:c r="D20" s="38" t="str">
        <x:v>Definir fecha y cierre</x:v>
      </x:c>
      <x:c r="E20" s="38" t="str">
        <x:v>Como administrador, quiero definir fecha y cierre para definir encuentros válidos con periodos claros de participación.</x:v>
      </x:c>
      <x:c r="F20" s="36" t="str">
        <x:v>Must</x:v>
      </x:c>
      <x:c r="G20" s="39" t="str">
        <x:v>E1 - MVP</x:v>
      </x:c>
      <x:c r="H20" s="39" t="n">
        <x:v>3</x:v>
      </x:c>
      <x:c r="I20" s="39" t="n">
        <x:v>5</x:v>
      </x:c>
      <x:c r="J20" s="38" t="str">
        <x:v>Maicol Rubiano · Backend Developer</x:v>
      </x:c>
      <x:c r="K20" s="39" t="str">
        <x:v>Pendiente</x:v>
      </x:c>
      <x:c r="L20" s="38" t="str">
        <x:v>MP-013</x:v>
      </x:c>
      <x:c r="M20" s="38" t="str">
        <x:v>Funcional</x:v>
      </x:c>
      <x:c r="N20" s="42" t="str">
        <x:v>Alto</x:v>
      </x:c>
      <x:c r="O20" s="38" t="str"/>
    </x:row>
    <x:row r="21" ht="57" customHeight="1">
      <x:c r="A21" s="30" t="str">
        <x:v>MP-015</x:v>
      </x:c>
      <x:c r="B21" s="30" t="str">
        <x:v>Administración de competencias</x:v>
      </x:c>
      <x:c r="C21" s="30" t="str">
        <x:v>Programación de eventos</x:v>
      </x:c>
      <x:c r="D21" s="30" t="str">
        <x:v>Configurar opciones de pronóstico</x:v>
      </x:c>
      <x:c r="E21" s="30" t="str">
        <x:v>Como administrador, quiero configurar opciones de pronóstico para definir encuentros válidos con periodos claros de participación.</x:v>
      </x:c>
      <x:c r="F21" s="36" t="str">
        <x:v>Must</x:v>
      </x:c>
      <x:c r="G21" s="34" t="str">
        <x:v>E1 - MVP</x:v>
      </x:c>
      <x:c r="H21" s="34" t="n">
        <x:v>5</x:v>
      </x:c>
      <x:c r="I21" s="34" t="n">
        <x:v>5</x:v>
      </x:c>
      <x:c r="J21" s="30" t="str">
        <x:v>Maicol Rubiano · Backend Developer</x:v>
      </x:c>
      <x:c r="K21" s="34" t="str">
        <x:v>Pendiente</x:v>
      </x:c>
      <x:c r="L21" s="30" t="str">
        <x:v>MP-013</x:v>
      </x:c>
      <x:c r="M21" s="30" t="str">
        <x:v>Funcional</x:v>
      </x:c>
      <x:c r="N21" s="42" t="str">
        <x:v>Alto</x:v>
      </x:c>
      <x:c r="O21" s="30" t="str"/>
    </x:row>
    <x:row r="22" ht="57" customHeight="1">
      <x:c r="A22" s="38" t="str">
        <x:v>MP-016</x:v>
      </x:c>
      <x:c r="B22" s="38" t="str">
        <x:v>Administración de competencias</x:v>
      </x:c>
      <x:c r="C22" s="38" t="str">
        <x:v>Programación de eventos</x:v>
      </x:c>
      <x:c r="D22" s="38" t="str">
        <x:v>Reprogramar evento</x:v>
      </x:c>
      <x:c r="E22" s="38" t="str">
        <x:v>Como administrador, quiero reprogramar evento para definir encuentros válidos con periodos claros de participación.</x:v>
      </x:c>
      <x:c r="F22" s="44" t="str">
        <x:v>Should</x:v>
      </x:c>
      <x:c r="G22" s="39" t="str">
        <x:v>E2</x:v>
      </x:c>
      <x:c r="H22" s="39" t="n">
        <x:v>5</x:v>
      </x:c>
      <x:c r="I22" s="39" t="n">
        <x:v>3</x:v>
      </x:c>
      <x:c r="J22" s="38" t="str">
        <x:v>Maicol Rubiano · Backend Developer</x:v>
      </x:c>
      <x:c r="K22" s="39" t="str">
        <x:v>Pendiente</x:v>
      </x:c>
      <x:c r="L22" s="38" t="str">
        <x:v>MP-013, MP-014</x:v>
      </x:c>
      <x:c r="M22" s="38" t="str">
        <x:v>Funcional</x:v>
      </x:c>
      <x:c r="N22" s="38" t="str">
        <x:v>Medio</x:v>
      </x:c>
      <x:c r="O22" s="38" t="str"/>
    </x:row>
    <x:row r="23" ht="57" customHeight="1">
      <x:c r="A23" s="30" t="str">
        <x:v>MP-017</x:v>
      </x:c>
      <x:c r="B23" s="30" t="str">
        <x:v>Administración de competencias</x:v>
      </x:c>
      <x:c r="C23" s="30" t="str">
        <x:v>Programación de eventos</x:v>
      </x:c>
      <x:c r="D23" s="30" t="str">
        <x:v>Administrar estado del evento</x:v>
      </x:c>
      <x:c r="E23" s="30" t="str">
        <x:v>Como administrador, quiero administrar estado del evento para definir encuentros válidos con periodos claros de participación.</x:v>
      </x:c>
      <x:c r="F23" s="44" t="str">
        <x:v>Should</x:v>
      </x:c>
      <x:c r="G23" s="34" t="str">
        <x:v>E2</x:v>
      </x:c>
      <x:c r="H23" s="34" t="n">
        <x:v>3</x:v>
      </x:c>
      <x:c r="I23" s="34" t="n">
        <x:v>3</x:v>
      </x:c>
      <x:c r="J23" s="30" t="str">
        <x:v>Maicol Rubiano · Backend Developer</x:v>
      </x:c>
      <x:c r="K23" s="34" t="str">
        <x:v>Pendiente</x:v>
      </x:c>
      <x:c r="L23" s="30" t="str">
        <x:v>MP-014</x:v>
      </x:c>
      <x:c r="M23" s="30" t="str">
        <x:v>Funcional</x:v>
      </x:c>
      <x:c r="N23" s="30" t="str">
        <x:v>Medio</x:v>
      </x:c>
      <x:c r="O23" s="30" t="str"/>
    </x:row>
    <x:row r="24" ht="57" customHeight="1">
      <x:c r="A24" s="38" t="str">
        <x:v>MP-018</x:v>
      </x:c>
      <x:c r="B24" s="38" t="str">
        <x:v>Administración de competencias</x:v>
      </x:c>
      <x:c r="C24" s="38" t="str">
        <x:v>Programación de eventos</x:v>
      </x:c>
      <x:c r="D24" s="38" t="str">
        <x:v>Configurar selección de ganador</x:v>
      </x:c>
      <x:c r="E24" s="38" t="str">
        <x:v>Como administrador, quiero configurar selección de ganador para definir encuentros válidos con periodos claros de participación.</x:v>
      </x:c>
      <x:c r="F24" s="46" t="str">
        <x:v>Could</x:v>
      </x:c>
      <x:c r="G24" s="39" t="str">
        <x:v>E3</x:v>
      </x:c>
      <x:c r="H24" s="39" t="n">
        <x:v>5</x:v>
      </x:c>
      <x:c r="I24" s="39" t="n">
        <x:v>2</x:v>
      </x:c>
      <x:c r="J24" s="38" t="str">
        <x:v>Maicol Rubiano · Backend Developer</x:v>
      </x:c>
      <x:c r="K24" s="39" t="str">
        <x:v>Pendiente</x:v>
      </x:c>
      <x:c r="L24" s="38" t="str">
        <x:v>MP-015</x:v>
      </x:c>
      <x:c r="M24" s="38" t="str">
        <x:v>Funcional</x:v>
      </x:c>
      <x:c r="N24" s="38" t="str">
        <x:v>Bajo</x:v>
      </x:c>
      <x:c r="O24" s="38" t="str"/>
    </x:row>
    <x:row r="25" ht="57" customHeight="1">
      <x:c r="A25" s="30" t="str">
        <x:v>MP-019</x:v>
      </x:c>
      <x:c r="B25" s="30" t="str">
        <x:v>Descubrimiento y pronósticos</x:v>
      </x:c>
      <x:c r="C25" s="30" t="str">
        <x:v>Explorar torneos</x:v>
      </x:c>
      <x:c r="D25" s="30" t="str">
        <x:v>Ver torneos disponibles</x:v>
      </x:c>
      <x:c r="E25" s="30" t="str">
        <x:v>Como participante, quiero ver torneos disponibles para encontrar las competencias en las que puedo participar.</x:v>
      </x:c>
      <x:c r="F25" s="36" t="str">
        <x:v>Must</x:v>
      </x:c>
      <x:c r="G25" s="34" t="str">
        <x:v>E1 - MVP</x:v>
      </x:c>
      <x:c r="H25" s="34" t="n">
        <x:v>3</x:v>
      </x:c>
      <x:c r="I25" s="34" t="n">
        <x:v>4</x:v>
      </x:c>
      <x:c r="J25" s="30" t="str">
        <x:v>Diego Romero · Frontend Developer</x:v>
      </x:c>
      <x:c r="K25" s="34" t="str">
        <x:v>Pendiente</x:v>
      </x:c>
      <x:c r="L25" s="30" t="str">
        <x:v>MP-007</x:v>
      </x:c>
      <x:c r="M25" s="30" t="str">
        <x:v>Funcional</x:v>
      </x:c>
      <x:c r="N25" s="30" t="str">
        <x:v>Medio</x:v>
      </x:c>
      <x:c r="O25" s="30" t="str"/>
    </x:row>
    <x:row r="26" ht="57" customHeight="1">
      <x:c r="A26" s="38" t="str">
        <x:v>MP-020</x:v>
      </x:c>
      <x:c r="B26" s="38" t="str">
        <x:v>Descubrimiento y pronósticos</x:v>
      </x:c>
      <x:c r="C26" s="38" t="str">
        <x:v>Explorar torneos</x:v>
      </x:c>
      <x:c r="D26" s="38" t="str">
        <x:v>Consultar detalle de torneo</x:v>
      </x:c>
      <x:c r="E26" s="38" t="str">
        <x:v>Como participante, quiero consultar detalle de torneo para encontrar las competencias en las que puedo participar.</x:v>
      </x:c>
      <x:c r="F26" s="36" t="str">
        <x:v>Must</x:v>
      </x:c>
      <x:c r="G26" s="39" t="str">
        <x:v>E1 - MVP</x:v>
      </x:c>
      <x:c r="H26" s="39" t="n">
        <x:v>3</x:v>
      </x:c>
      <x:c r="I26" s="39" t="n">
        <x:v>4</x:v>
      </x:c>
      <x:c r="J26" s="38" t="str">
        <x:v>Diego Romero · Frontend Developer</x:v>
      </x:c>
      <x:c r="K26" s="39" t="str">
        <x:v>Pendiente</x:v>
      </x:c>
      <x:c r="L26" s="38" t="str">
        <x:v>MP-019</x:v>
      </x:c>
      <x:c r="M26" s="38" t="str">
        <x:v>Funcional</x:v>
      </x:c>
      <x:c r="N26" s="38" t="str">
        <x:v>Medio</x:v>
      </x:c>
      <x:c r="O26" s="38" t="str"/>
    </x:row>
    <x:row r="27" ht="57" customHeight="1">
      <x:c r="A27" s="30" t="str">
        <x:v>MP-021</x:v>
      </x:c>
      <x:c r="B27" s="30" t="str">
        <x:v>Descubrimiento y pronósticos</x:v>
      </x:c>
      <x:c r="C27" s="30" t="str">
        <x:v>Explorar torneos</x:v>
      </x:c>
      <x:c r="D27" s="30" t="str">
        <x:v>Consultar eventos del torneo</x:v>
      </x:c>
      <x:c r="E27" s="30" t="str">
        <x:v>Como participante, quiero consultar eventos del torneo para encontrar las competencias en las que puedo participar.</x:v>
      </x:c>
      <x:c r="F27" s="36" t="str">
        <x:v>Must</x:v>
      </x:c>
      <x:c r="G27" s="34" t="str">
        <x:v>E1 - MVP</x:v>
      </x:c>
      <x:c r="H27" s="34" t="n">
        <x:v>3</x:v>
      </x:c>
      <x:c r="I27" s="34" t="n">
        <x:v>4</x:v>
      </x:c>
      <x:c r="J27" s="30" t="str">
        <x:v>Diego Romero · Frontend Developer</x:v>
      </x:c>
      <x:c r="K27" s="34" t="str">
        <x:v>Pendiente</x:v>
      </x:c>
      <x:c r="L27" s="30" t="str">
        <x:v>MP-020, MP-013</x:v>
      </x:c>
      <x:c r="M27" s="30" t="str">
        <x:v>Funcional</x:v>
      </x:c>
      <x:c r="N27" s="30" t="str">
        <x:v>Bajo</x:v>
      </x:c>
      <x:c r="O27" s="30" t="str"/>
    </x:row>
    <x:row r="28" ht="57" customHeight="1">
      <x:c r="A28" s="38" t="str">
        <x:v>MP-022</x:v>
      </x:c>
      <x:c r="B28" s="38" t="str">
        <x:v>Descubrimiento y pronósticos</x:v>
      </x:c>
      <x:c r="C28" s="38" t="str">
        <x:v>Explorar torneos</x:v>
      </x:c>
      <x:c r="D28" s="38" t="str">
        <x:v>Revisar calendario</x:v>
      </x:c>
      <x:c r="E28" s="38" t="str">
        <x:v>Como participante, quiero revisar calendario para encontrar las competencias en las que puedo participar.</x:v>
      </x:c>
      <x:c r="F28" s="44" t="str">
        <x:v>Should</x:v>
      </x:c>
      <x:c r="G28" s="39" t="str">
        <x:v>E2</x:v>
      </x:c>
      <x:c r="H28" s="39" t="n">
        <x:v>3</x:v>
      </x:c>
      <x:c r="I28" s="39" t="n">
        <x:v>3</x:v>
      </x:c>
      <x:c r="J28" s="38" t="str">
        <x:v>Diego Romero · Frontend Developer</x:v>
      </x:c>
      <x:c r="K28" s="39" t="str">
        <x:v>Pendiente</x:v>
      </x:c>
      <x:c r="L28" s="38" t="str">
        <x:v>MP-021</x:v>
      </x:c>
      <x:c r="M28" s="38" t="str">
        <x:v>Funcional</x:v>
      </x:c>
      <x:c r="N28" s="38" t="str">
        <x:v>Medio</x:v>
      </x:c>
      <x:c r="O28" s="38" t="str"/>
    </x:row>
    <x:row r="29" ht="57" customHeight="1">
      <x:c r="A29" s="30" t="str">
        <x:v>MP-023</x:v>
      </x:c>
      <x:c r="B29" s="30" t="str">
        <x:v>Descubrimiento y pronósticos</x:v>
      </x:c>
      <x:c r="C29" s="30" t="str">
        <x:v>Explorar torneos</x:v>
      </x:c>
      <x:c r="D29" s="30" t="str">
        <x:v>Distinguir estado del torneo</x:v>
      </x:c>
      <x:c r="E29" s="30" t="str">
        <x:v>Como participante, quiero distinguir estado del torneo para encontrar las competencias en las que puedo participar.</x:v>
      </x:c>
      <x:c r="F29" s="44" t="str">
        <x:v>Should</x:v>
      </x:c>
      <x:c r="G29" s="34" t="str">
        <x:v>E2</x:v>
      </x:c>
      <x:c r="H29" s="34" t="n">
        <x:v>3</x:v>
      </x:c>
      <x:c r="I29" s="34" t="n">
        <x:v>3</x:v>
      </x:c>
      <x:c r="J29" s="30" t="str">
        <x:v>Diego Romero · Frontend Developer</x:v>
      </x:c>
      <x:c r="K29" s="34" t="str">
        <x:v>Pendiente</x:v>
      </x:c>
      <x:c r="L29" s="30" t="str">
        <x:v>MP-019</x:v>
      </x:c>
      <x:c r="M29" s="30" t="str">
        <x:v>Funcional</x:v>
      </x:c>
      <x:c r="N29" s="30" t="str">
        <x:v>Medio</x:v>
      </x:c>
      <x:c r="O29" s="30" t="str"/>
    </x:row>
    <x:row r="30" ht="57" customHeight="1">
      <x:c r="A30" s="38" t="str">
        <x:v>MP-024</x:v>
      </x:c>
      <x:c r="B30" s="38" t="str">
        <x:v>Descubrimiento y pronósticos</x:v>
      </x:c>
      <x:c r="C30" s="38" t="str">
        <x:v>Explorar torneos</x:v>
      </x:c>
      <x:c r="D30" s="38" t="str">
        <x:v>Consultar torneos anteriores</x:v>
      </x:c>
      <x:c r="E30" s="38" t="str">
        <x:v>Como participante, quiero consultar torneos anteriores para encontrar las competencias en las que puedo participar.</x:v>
      </x:c>
      <x:c r="F30" s="46" t="str">
        <x:v>Could</x:v>
      </x:c>
      <x:c r="G30" s="39" t="str">
        <x:v>E3</x:v>
      </x:c>
      <x:c r="H30" s="39" t="n">
        <x:v>3</x:v>
      </x:c>
      <x:c r="I30" s="39" t="n">
        <x:v>2</x:v>
      </x:c>
      <x:c r="J30" s="38" t="str">
        <x:v>Diego Romero · Frontend Developer</x:v>
      </x:c>
      <x:c r="K30" s="39" t="str">
        <x:v>Pendiente</x:v>
      </x:c>
      <x:c r="L30" s="38" t="str">
        <x:v>MP-019</x:v>
      </x:c>
      <x:c r="M30" s="38" t="str">
        <x:v>Funcional</x:v>
      </x:c>
      <x:c r="N30" s="38" t="str">
        <x:v>Bajo</x:v>
      </x:c>
      <x:c r="O30" s="38" t="str"/>
    </x:row>
    <x:row r="31" ht="57" customHeight="1">
      <x:c r="A31" s="30" t="str">
        <x:v>MP-025</x:v>
      </x:c>
      <x:c r="B31" s="30" t="str">
        <x:v>Descubrimiento y pronósticos</x:v>
      </x:c>
      <x:c r="C31" s="30" t="str">
        <x:v>Consultar encuentros</x:v>
      </x:c>
      <x:c r="D31" s="30" t="str">
        <x:v>Ver fecha límite para pronosticar</x:v>
      </x:c>
      <x:c r="E31" s="30" t="str">
        <x:v>Como participante, quiero ver fecha límite para pronosticar para conocer las reglas, opciones y plazos antes de participar.</x:v>
      </x:c>
      <x:c r="F31" s="36" t="str">
        <x:v>Must</x:v>
      </x:c>
      <x:c r="G31" s="34" t="str">
        <x:v>E1 - MVP</x:v>
      </x:c>
      <x:c r="H31" s="34" t="n">
        <x:v>3</x:v>
      </x:c>
      <x:c r="I31" s="34" t="n">
        <x:v>4</x:v>
      </x:c>
      <x:c r="J31" s="30" t="str">
        <x:v>Diego Romero · Frontend Developer</x:v>
      </x:c>
      <x:c r="K31" s="34" t="str">
        <x:v>Pendiente</x:v>
      </x:c>
      <x:c r="L31" s="30" t="str">
        <x:v>MP-013, MP-014</x:v>
      </x:c>
      <x:c r="M31" s="30" t="str">
        <x:v>Funcional</x:v>
      </x:c>
      <x:c r="N31" s="30" t="str">
        <x:v>Medio</x:v>
      </x:c>
      <x:c r="O31" s="30" t="str"/>
    </x:row>
    <x:row r="32" ht="57" customHeight="1">
      <x:c r="A32" s="38" t="str">
        <x:v>MP-026</x:v>
      </x:c>
      <x:c r="B32" s="38" t="str">
        <x:v>Descubrimiento y pronósticos</x:v>
      </x:c>
      <x:c r="C32" s="38" t="str">
        <x:v>Consultar encuentros</x:v>
      </x:c>
      <x:c r="D32" s="38" t="str">
        <x:v>Ver opciones válidas</x:v>
      </x:c>
      <x:c r="E32" s="38" t="str">
        <x:v>Como participante, quiero ver opciones válidas para conocer las reglas, opciones y plazos antes de participar.</x:v>
      </x:c>
      <x:c r="F32" s="36" t="str">
        <x:v>Must</x:v>
      </x:c>
      <x:c r="G32" s="39" t="str">
        <x:v>E1 - MVP</x:v>
      </x:c>
      <x:c r="H32" s="39" t="n">
        <x:v>3</x:v>
      </x:c>
      <x:c r="I32" s="39" t="n">
        <x:v>4</x:v>
      </x:c>
      <x:c r="J32" s="38" t="str">
        <x:v>Diego Romero · Frontend Developer</x:v>
      </x:c>
      <x:c r="K32" s="39" t="str">
        <x:v>Pendiente</x:v>
      </x:c>
      <x:c r="L32" s="38" t="str">
        <x:v>MP-015</x:v>
      </x:c>
      <x:c r="M32" s="38" t="str">
        <x:v>Funcional</x:v>
      </x:c>
      <x:c r="N32" s="38" t="str">
        <x:v>Medio</x:v>
      </x:c>
      <x:c r="O32" s="38" t="str"/>
    </x:row>
    <x:row r="33" ht="57" customHeight="1">
      <x:c r="A33" s="30" t="str">
        <x:v>MP-027</x:v>
      </x:c>
      <x:c r="B33" s="30" t="str">
        <x:v>Descubrimiento y pronósticos</x:v>
      </x:c>
      <x:c r="C33" s="30" t="str">
        <x:v>Consultar encuentros</x:v>
      </x:c>
      <x:c r="D33" s="30" t="str">
        <x:v>Ver estado del evento</x:v>
      </x:c>
      <x:c r="E33" s="30" t="str">
        <x:v>Como participante, quiero ver estado del evento para conocer las reglas, opciones y plazos antes de participar.</x:v>
      </x:c>
      <x:c r="F33" s="36" t="str">
        <x:v>Must</x:v>
      </x:c>
      <x:c r="G33" s="34" t="str">
        <x:v>E1 - MVP</x:v>
      </x:c>
      <x:c r="H33" s="34" t="n">
        <x:v>3</x:v>
      </x:c>
      <x:c r="I33" s="34" t="n">
        <x:v>4</x:v>
      </x:c>
      <x:c r="J33" s="30" t="str">
        <x:v>Diego Romero · Frontend Developer</x:v>
      </x:c>
      <x:c r="K33" s="34" t="str">
        <x:v>Pendiente</x:v>
      </x:c>
      <x:c r="L33" s="30" t="str">
        <x:v>MP-013</x:v>
      </x:c>
      <x:c r="M33" s="30" t="str">
        <x:v>Funcional</x:v>
      </x:c>
      <x:c r="N33" s="30" t="str">
        <x:v>Bajo</x:v>
      </x:c>
      <x:c r="O33" s="30" t="str"/>
    </x:row>
    <x:row r="34" ht="57" customHeight="1">
      <x:c r="A34" s="38" t="str">
        <x:v>MP-028</x:v>
      </x:c>
      <x:c r="B34" s="38" t="str">
        <x:v>Descubrimiento y pronósticos</x:v>
      </x:c>
      <x:c r="C34" s="38" t="str">
        <x:v>Consultar encuentros</x:v>
      </x:c>
      <x:c r="D34" s="38" t="str">
        <x:v>Consultar reglas de participación</x:v>
      </x:c>
      <x:c r="E34" s="38" t="str">
        <x:v>Como participante, quiero consultar reglas de participación para conocer las reglas, opciones y plazos antes de participar.</x:v>
      </x:c>
      <x:c r="F34" s="44" t="str">
        <x:v>Should</x:v>
      </x:c>
      <x:c r="G34" s="39" t="str">
        <x:v>E2</x:v>
      </x:c>
      <x:c r="H34" s="39" t="n">
        <x:v>3</x:v>
      </x:c>
      <x:c r="I34" s="39" t="n">
        <x:v>3</x:v>
      </x:c>
      <x:c r="J34" s="38" t="str">
        <x:v>Diego Romero · Frontend Developer</x:v>
      </x:c>
      <x:c r="K34" s="39" t="str">
        <x:v>Pendiente</x:v>
      </x:c>
      <x:c r="L34" s="38" t="str">
        <x:v>MP-025, MP-026</x:v>
      </x:c>
      <x:c r="M34" s="38" t="str">
        <x:v>Funcional</x:v>
      </x:c>
      <x:c r="N34" s="38" t="str">
        <x:v>Medio</x:v>
      </x:c>
      <x:c r="O34" s="38" t="str"/>
    </x:row>
    <x:row r="35" ht="57" customHeight="1">
      <x:c r="A35" s="30" t="str">
        <x:v>MP-029</x:v>
      </x:c>
      <x:c r="B35" s="30" t="str">
        <x:v>Descubrimiento y pronósticos</x:v>
      </x:c>
      <x:c r="C35" s="30" t="str">
        <x:v>Consultar encuentros</x:v>
      </x:c>
      <x:c r="D35" s="30" t="str">
        <x:v>Consultar resultado publicado</x:v>
      </x:c>
      <x:c r="E35" s="30" t="str">
        <x:v>Como participante, quiero consultar resultado publicado para conocer las reglas, opciones y plazos antes de participar.</x:v>
      </x:c>
      <x:c r="F35" s="44" t="str">
        <x:v>Should</x:v>
      </x:c>
      <x:c r="G35" s="34" t="str">
        <x:v>E2</x:v>
      </x:c>
      <x:c r="H35" s="34" t="n">
        <x:v>3</x:v>
      </x:c>
      <x:c r="I35" s="34" t="n">
        <x:v>3</x:v>
      </x:c>
      <x:c r="J35" s="30" t="str">
        <x:v>Diego Romero · Frontend Developer</x:v>
      </x:c>
      <x:c r="K35" s="34" t="str">
        <x:v>Pendiente</x:v>
      </x:c>
      <x:c r="L35" s="30" t="str">
        <x:v>MP-056</x:v>
      </x:c>
      <x:c r="M35" s="30" t="str">
        <x:v>Funcional</x:v>
      </x:c>
      <x:c r="N35" s="30" t="str">
        <x:v>Medio</x:v>
      </x:c>
      <x:c r="O35" s="30" t="str"/>
    </x:row>
    <x:row r="36" ht="57" customHeight="1">
      <x:c r="A36" s="38" t="str">
        <x:v>MP-030</x:v>
      </x:c>
      <x:c r="B36" s="38" t="str">
        <x:v>Descubrimiento y pronósticos</x:v>
      </x:c>
      <x:c r="C36" s="38" t="str">
        <x:v>Consultar encuentros</x:v>
      </x:c>
      <x:c r="D36" s="38" t="str">
        <x:v>Distinguir modalidad del evento</x:v>
      </x:c>
      <x:c r="E36" s="38" t="str">
        <x:v>Como participante, quiero distinguir modalidad del evento para conocer las reglas, opciones y plazos antes de participar.</x:v>
      </x:c>
      <x:c r="F36" s="46" t="str">
        <x:v>Could</x:v>
      </x:c>
      <x:c r="G36" s="39" t="str">
        <x:v>E3</x:v>
      </x:c>
      <x:c r="H36" s="39" t="n">
        <x:v>3</x:v>
      </x:c>
      <x:c r="I36" s="39" t="n">
        <x:v>2</x:v>
      </x:c>
      <x:c r="J36" s="38" t="str">
        <x:v>Diego Romero · Frontend Developer</x:v>
      </x:c>
      <x:c r="K36" s="39" t="str">
        <x:v>Pendiente</x:v>
      </x:c>
      <x:c r="L36" s="38" t="str">
        <x:v>MP-015, MP-018</x:v>
      </x:c>
      <x:c r="M36" s="38" t="str">
        <x:v>Funcional</x:v>
      </x:c>
      <x:c r="N36" s="38" t="str">
        <x:v>Bajo</x:v>
      </x:c>
      <x:c r="O36" s="38" t="str"/>
    </x:row>
    <x:row r="37" ht="57" customHeight="1">
      <x:c r="A37" s="30" t="str">
        <x:v>MP-031</x:v>
      </x:c>
      <x:c r="B37" s="30" t="str">
        <x:v>Descubrimiento y pronósticos</x:v>
      </x:c>
      <x:c r="C37" s="30" t="str">
        <x:v>Registrar pronósticos</x:v>
      </x:c>
      <x:c r="D37" s="30" t="str">
        <x:v>Registrar un pronóstico</x:v>
      </x:c>
      <x:c r="E37" s="30" t="str">
        <x:v>Como participante, quiero registrar un pronóstico para participar correctamente y conservar evidencia de mi elección.</x:v>
      </x:c>
      <x:c r="F37" s="36" t="str">
        <x:v>Must</x:v>
      </x:c>
      <x:c r="G37" s="34" t="str">
        <x:v>E1 - MVP</x:v>
      </x:c>
      <x:c r="H37" s="34" t="n">
        <x:v>8</x:v>
      </x:c>
      <x:c r="I37" s="34" t="n">
        <x:v>5</x:v>
      </x:c>
      <x:c r="J37" s="30" t="str">
        <x:v>Maicol Rubiano · Backend Developer</x:v>
      </x:c>
      <x:c r="K37" s="34" t="str">
        <x:v>Pendiente</x:v>
      </x:c>
      <x:c r="L37" s="30" t="str">
        <x:v>MP-002, MP-015, MP-038</x:v>
      </x:c>
      <x:c r="M37" s="30" t="str">
        <x:v>Funcional</x:v>
      </x:c>
      <x:c r="N37" s="42" t="str">
        <x:v>Alto</x:v>
      </x:c>
      <x:c r="O37" s="30" t="str"/>
    </x:row>
    <x:row r="38" ht="57" customHeight="1">
      <x:c r="A38" s="38" t="str">
        <x:v>MP-032</x:v>
      </x:c>
      <x:c r="B38" s="38" t="str">
        <x:v>Descubrimiento y pronósticos</x:v>
      </x:c>
      <x:c r="C38" s="38" t="str">
        <x:v>Registrar pronósticos</x:v>
      </x:c>
      <x:c r="D38" s="38" t="str">
        <x:v>Validar opción y periodo</x:v>
      </x:c>
      <x:c r="E38" s="38" t="str">
        <x:v>Como participante, quiero validar opción y periodo para participar correctamente y conservar evidencia de mi elección.</x:v>
      </x:c>
      <x:c r="F38" s="36" t="str">
        <x:v>Must</x:v>
      </x:c>
      <x:c r="G38" s="39" t="str">
        <x:v>E1 - MVP</x:v>
      </x:c>
      <x:c r="H38" s="39" t="n">
        <x:v>5</x:v>
      </x:c>
      <x:c r="I38" s="39" t="n">
        <x:v>5</x:v>
      </x:c>
      <x:c r="J38" s="38" t="str">
        <x:v>Maicol Rubiano · Backend Developer</x:v>
      </x:c>
      <x:c r="K38" s="39" t="str">
        <x:v>Pendiente</x:v>
      </x:c>
      <x:c r="L38" s="38" t="str">
        <x:v>MP-014, MP-015</x:v>
      </x:c>
      <x:c r="M38" s="38" t="str">
        <x:v>Funcional</x:v>
      </x:c>
      <x:c r="N38" s="42" t="str">
        <x:v>Alto</x:v>
      </x:c>
      <x:c r="O38" s="38" t="str"/>
    </x:row>
    <x:row r="39" ht="57" customHeight="1">
      <x:c r="A39" s="30" t="str">
        <x:v>MP-033</x:v>
      </x:c>
      <x:c r="B39" s="30" t="str">
        <x:v>Descubrimiento y pronósticos</x:v>
      </x:c>
      <x:c r="C39" s="30" t="str">
        <x:v>Registrar pronósticos</x:v>
      </x:c>
      <x:c r="D39" s="30" t="str">
        <x:v>Proteger pronóstico cerrado</x:v>
      </x:c>
      <x:c r="E39" s="30" t="str">
        <x:v>Como participante, quiero proteger pronóstico cerrado para participar correctamente y conservar evidencia de mi elección.</x:v>
      </x:c>
      <x:c r="F39" s="36" t="str">
        <x:v>Must</x:v>
      </x:c>
      <x:c r="G39" s="34" t="str">
        <x:v>E1 - MVP</x:v>
      </x:c>
      <x:c r="H39" s="34" t="n">
        <x:v>5</x:v>
      </x:c>
      <x:c r="I39" s="34" t="n">
        <x:v>4</x:v>
      </x:c>
      <x:c r="J39" s="30" t="str">
        <x:v>Maicol Rubiano · Backend Developer</x:v>
      </x:c>
      <x:c r="K39" s="34" t="str">
        <x:v>Pendiente</x:v>
      </x:c>
      <x:c r="L39" s="30" t="str">
        <x:v>MP-055</x:v>
      </x:c>
      <x:c r="M39" s="30" t="str">
        <x:v>Funcional</x:v>
      </x:c>
      <x:c r="N39" s="42" t="str">
        <x:v>Alto</x:v>
      </x:c>
      <x:c r="O39" s="30" t="str"/>
    </x:row>
    <x:row r="40" ht="57" customHeight="1">
      <x:c r="A40" s="38" t="str">
        <x:v>MP-034</x:v>
      </x:c>
      <x:c r="B40" s="38" t="str">
        <x:v>Descubrimiento y pronósticos</x:v>
      </x:c>
      <x:c r="C40" s="38" t="str">
        <x:v>Registrar pronósticos</x:v>
      </x:c>
      <x:c r="D40" s="38" t="str">
        <x:v>Confirmar participación registrada</x:v>
      </x:c>
      <x:c r="E40" s="38" t="str">
        <x:v>Como participante, quiero confirmar participación registrada para participar correctamente y conservar evidencia de mi elección.</x:v>
      </x:c>
      <x:c r="F40" s="44" t="str">
        <x:v>Should</x:v>
      </x:c>
      <x:c r="G40" s="39" t="str">
        <x:v>E2</x:v>
      </x:c>
      <x:c r="H40" s="39" t="n">
        <x:v>5</x:v>
      </x:c>
      <x:c r="I40" s="39" t="n">
        <x:v>3</x:v>
      </x:c>
      <x:c r="J40" s="38" t="str">
        <x:v>Maicol Rubiano · Backend Developer</x:v>
      </x:c>
      <x:c r="K40" s="39" t="str">
        <x:v>Pendiente</x:v>
      </x:c>
      <x:c r="L40" s="38" t="str">
        <x:v>MP-031</x:v>
      </x:c>
      <x:c r="M40" s="38" t="str">
        <x:v>Funcional</x:v>
      </x:c>
      <x:c r="N40" s="38" t="str">
        <x:v>Medio</x:v>
      </x:c>
      <x:c r="O40" s="38" t="str"/>
    </x:row>
    <x:row r="41" ht="57" customHeight="1">
      <x:c r="A41" s="30" t="str">
        <x:v>MP-035</x:v>
      </x:c>
      <x:c r="B41" s="30" t="str">
        <x:v>Descubrimiento y pronósticos</x:v>
      </x:c>
      <x:c r="C41" s="30" t="str">
        <x:v>Registrar pronósticos</x:v>
      </x:c>
      <x:c r="D41" s="30" t="str">
        <x:v>Explicar un rechazo</x:v>
      </x:c>
      <x:c r="E41" s="30" t="str">
        <x:v>Como participante, quiero explicar un rechazo para participar correctamente y conservar evidencia de mi elección.</x:v>
      </x:c>
      <x:c r="F41" s="44" t="str">
        <x:v>Should</x:v>
      </x:c>
      <x:c r="G41" s="34" t="str">
        <x:v>E2</x:v>
      </x:c>
      <x:c r="H41" s="34" t="n">
        <x:v>5</x:v>
      </x:c>
      <x:c r="I41" s="34" t="n">
        <x:v>4</x:v>
      </x:c>
      <x:c r="J41" s="30" t="str">
        <x:v>Maicol Rubiano · Backend Developer</x:v>
      </x:c>
      <x:c r="K41" s="34" t="str">
        <x:v>Pendiente</x:v>
      </x:c>
      <x:c r="L41" s="30" t="str">
        <x:v>MP-031, MP-032, MP-038</x:v>
      </x:c>
      <x:c r="M41" s="30" t="str">
        <x:v>Funcional</x:v>
      </x:c>
      <x:c r="N41" s="42" t="str">
        <x:v>Alto</x:v>
      </x:c>
      <x:c r="O41" s="30" t="str">
        <x:v>Aunque los mensajes de rechazo sean E2, no descontar ante rechazos es requisito mínimo de E1.</x:v>
      </x:c>
    </x:row>
    <x:row r="42" ht="57" customHeight="1">
      <x:c r="A42" s="38" t="str">
        <x:v>MP-036</x:v>
      </x:c>
      <x:c r="B42" s="38" t="str">
        <x:v>Descubrimiento y pronósticos</x:v>
      </x:c>
      <x:c r="C42" s="38" t="str">
        <x:v>Registrar pronósticos</x:v>
      </x:c>
      <x:c r="D42" s="38" t="str">
        <x:v>Consultar pronósticos por evento</x:v>
      </x:c>
      <x:c r="E42" s="38" t="str">
        <x:v>Como participante, quiero consultar pronósticos por evento para participar correctamente y conservar evidencia de mi elección.</x:v>
      </x:c>
      <x:c r="F42" s="46" t="str">
        <x:v>Could</x:v>
      </x:c>
      <x:c r="G42" s="39" t="str">
        <x:v>E3</x:v>
      </x:c>
      <x:c r="H42" s="39" t="n">
        <x:v>5</x:v>
      </x:c>
      <x:c r="I42" s="39" t="n">
        <x:v>2</x:v>
      </x:c>
      <x:c r="J42" s="38" t="str">
        <x:v>Maicol Rubiano · Backend Developer</x:v>
      </x:c>
      <x:c r="K42" s="39" t="str">
        <x:v>Pendiente</x:v>
      </x:c>
      <x:c r="L42" s="38" t="str">
        <x:v>MP-050</x:v>
      </x:c>
      <x:c r="M42" s="38" t="str">
        <x:v>Funcional</x:v>
      </x:c>
      <x:c r="N42" s="38" t="str">
        <x:v>Bajo</x:v>
      </x:c>
      <x:c r="O42" s="38" t="str"/>
    </x:row>
    <x:row r="43" ht="57" customHeight="1">
      <x:c r="A43" s="30" t="str">
        <x:v>MP-037</x:v>
      </x:c>
      <x:c r="B43" s="30" t="str">
        <x:v>Créditos, operaciones e historial</x:v>
      </x:c>
      <x:c r="C43" s="30" t="str">
        <x:v>Controlar créditos</x:v>
      </x:c>
      <x:c r="D43" s="30" t="str">
        <x:v>Asignar créditos iniciales</x:v>
      </x:c>
      <x:c r="E43" s="30" t="str">
        <x:v>Como administrador, quiero asignar créditos iniciales para usar créditos virtuales de manera segura y verificable.</x:v>
      </x:c>
      <x:c r="F43" s="36" t="str">
        <x:v>Must</x:v>
      </x:c>
      <x:c r="G43" s="34" t="str">
        <x:v>E1 - MVP</x:v>
      </x:c>
      <x:c r="H43" s="34" t="n">
        <x:v>5</x:v>
      </x:c>
      <x:c r="I43" s="34" t="n">
        <x:v>5</x:v>
      </x:c>
      <x:c r="J43" s="30" t="str">
        <x:v>Camilo Bastias · Database Administrator (DBA)</x:v>
      </x:c>
      <x:c r="K43" s="34" t="str">
        <x:v>Pendiente</x:v>
      </x:c>
      <x:c r="L43" s="30" t="str">
        <x:v>MP-001</x:v>
      </x:c>
      <x:c r="M43" s="30" t="str">
        <x:v>Técnica</x:v>
      </x:c>
      <x:c r="N43" s="42" t="str">
        <x:v>Alto</x:v>
      </x:c>
      <x:c r="O43" s="30" t="str"/>
    </x:row>
    <x:row r="44" ht="57" customHeight="1">
      <x:c r="A44" s="38" t="str">
        <x:v>MP-038</x:v>
      </x:c>
      <x:c r="B44" s="38" t="str">
        <x:v>Créditos, operaciones e historial</x:v>
      </x:c>
      <x:c r="C44" s="38" t="str">
        <x:v>Controlar créditos</x:v>
      </x:c>
      <x:c r="D44" s="38" t="str">
        <x:v>Comprobar saldo suficiente</x:v>
      </x:c>
      <x:c r="E44" s="38" t="str">
        <x:v>Como participante, quiero comprobar saldo suficiente para usar créditos virtuales de manera segura y verificable.</x:v>
      </x:c>
      <x:c r="F44" s="36" t="str">
        <x:v>Must</x:v>
      </x:c>
      <x:c r="G44" s="39" t="str">
        <x:v>E1 - MVP</x:v>
      </x:c>
      <x:c r="H44" s="39" t="n">
        <x:v>5</x:v>
      </x:c>
      <x:c r="I44" s="39" t="n">
        <x:v>5</x:v>
      </x:c>
      <x:c r="J44" s="38" t="str">
        <x:v>Camilo Bastias · Database Administrator (DBA)</x:v>
      </x:c>
      <x:c r="K44" s="39" t="str">
        <x:v>Pendiente</x:v>
      </x:c>
      <x:c r="L44" s="38" t="str">
        <x:v>MP-037</x:v>
      </x:c>
      <x:c r="M44" s="38" t="str">
        <x:v>Técnica</x:v>
      </x:c>
      <x:c r="N44" s="42" t="str">
        <x:v>Alto</x:v>
      </x:c>
      <x:c r="O44" s="38" t="str"/>
    </x:row>
    <x:row r="45" ht="57" customHeight="1">
      <x:c r="A45" s="30" t="str">
        <x:v>MP-039</x:v>
      </x:c>
      <x:c r="B45" s="30" t="str">
        <x:v>Créditos, operaciones e historial</x:v>
      </x:c>
      <x:c r="C45" s="30" t="str">
        <x:v>Controlar créditos</x:v>
      </x:c>
      <x:c r="D45" s="30" t="str">
        <x:v>Descontar sin saldo negativo</x:v>
      </x:c>
      <x:c r="E45" s="30" t="str">
        <x:v>Como participante, quiero descontar sin saldo negativo para usar créditos virtuales de manera segura y verificable.</x:v>
      </x:c>
      <x:c r="F45" s="36" t="str">
        <x:v>Must</x:v>
      </x:c>
      <x:c r="G45" s="34" t="str">
        <x:v>E1 - MVP</x:v>
      </x:c>
      <x:c r="H45" s="34" t="n">
        <x:v>8</x:v>
      </x:c>
      <x:c r="I45" s="34" t="n">
        <x:v>5</x:v>
      </x:c>
      <x:c r="J45" s="30" t="str">
        <x:v>Camilo Bastias · Database Administrator (DBA)</x:v>
      </x:c>
      <x:c r="K45" s="34" t="str">
        <x:v>Pendiente</x:v>
      </x:c>
      <x:c r="L45" s="30" t="str">
        <x:v>MP-038, MP-044, MP-045</x:v>
      </x:c>
      <x:c r="M45" s="30" t="str">
        <x:v>Técnica</x:v>
      </x:c>
      <x:c r="N45" s="42" t="str">
        <x:v>Alto</x:v>
      </x:c>
      <x:c r="O45" s="30" t="str">
        <x:v>Validar atomicidad con MP-031 y MP-043.</x:v>
      </x:c>
    </x:row>
    <x:row r="46" ht="57" customHeight="1">
      <x:c r="A46" s="38" t="str">
        <x:v>MP-040</x:v>
      </x:c>
      <x:c r="B46" s="38" t="str">
        <x:v>Créditos, operaciones e historial</x:v>
      </x:c>
      <x:c r="C46" s="38" t="str">
        <x:v>Controlar créditos</x:v>
      </x:c>
      <x:c r="D46" s="38" t="str">
        <x:v>Mostrar saldo actualizado</x:v>
      </x:c>
      <x:c r="E46" s="38" t="str">
        <x:v>Como participante, quiero mostrar saldo actualizado para usar créditos virtuales de manera segura y verificable.</x:v>
      </x:c>
      <x:c r="F46" s="44" t="str">
        <x:v>Should</x:v>
      </x:c>
      <x:c r="G46" s="39" t="str">
        <x:v>E2</x:v>
      </x:c>
      <x:c r="H46" s="39" t="n">
        <x:v>3</x:v>
      </x:c>
      <x:c r="I46" s="39" t="n">
        <x:v>3</x:v>
      </x:c>
      <x:c r="J46" s="38" t="str">
        <x:v>Camilo Bastias · Database Administrator (DBA)</x:v>
      </x:c>
      <x:c r="K46" s="39" t="str">
        <x:v>Pendiente</x:v>
      </x:c>
      <x:c r="L46" s="38" t="str">
        <x:v>MP-039, MP-043</x:v>
      </x:c>
      <x:c r="M46" s="38" t="str">
        <x:v>Funcional</x:v>
      </x:c>
      <x:c r="N46" s="38" t="str">
        <x:v>Medio</x:v>
      </x:c>
      <x:c r="O46" s="38" t="str">
        <x:v>La verificación básica ya está en MP-049 y MP-068 (E1).</x:v>
      </x:c>
    </x:row>
    <x:row r="47" ht="57" customHeight="1">
      <x:c r="A47" s="30" t="str">
        <x:v>MP-041</x:v>
      </x:c>
      <x:c r="B47" s="30" t="str">
        <x:v>Créditos, operaciones e historial</x:v>
      </x:c>
      <x:c r="C47" s="30" t="str">
        <x:v>Controlar créditos</x:v>
      </x:c>
      <x:c r="D47" s="30" t="str">
        <x:v>Registrar premios de créditos</x:v>
      </x:c>
      <x:c r="E47" s="30" t="str">
        <x:v>Como administrador, quiero registrar premios de créditos para usar créditos virtuales de manera segura y verificable.</x:v>
      </x:c>
      <x:c r="F47" s="44" t="str">
        <x:v>Should</x:v>
      </x:c>
      <x:c r="G47" s="34" t="str">
        <x:v>E2</x:v>
      </x:c>
      <x:c r="H47" s="34" t="n">
        <x:v>5</x:v>
      </x:c>
      <x:c r="I47" s="34" t="n">
        <x:v>4</x:v>
      </x:c>
      <x:c r="J47" s="30" t="str">
        <x:v>Camilo Bastias · Database Administrator (DBA)</x:v>
      </x:c>
      <x:c r="K47" s="34" t="str">
        <x:v>Pendiente</x:v>
      </x:c>
      <x:c r="L47" s="30" t="str">
        <x:v>MP-062</x:v>
      </x:c>
      <x:c r="M47" s="30" t="str">
        <x:v>Funcional</x:v>
      </x:c>
      <x:c r="N47" s="42" t="str">
        <x:v>Alto</x:v>
      </x:c>
      <x:c r="O47" s="30" t="str">
        <x:v>El crédito del premio ya debe registrarse en MP-062 (E1); E2 amplía su gestión específica.</x:v>
      </x:c>
    </x:row>
    <x:row r="48" ht="57" customHeight="1">
      <x:c r="A48" s="38" t="str">
        <x:v>MP-042</x:v>
      </x:c>
      <x:c r="B48" s="38" t="str">
        <x:v>Créditos, operaciones e historial</x:v>
      </x:c>
      <x:c r="C48" s="38" t="str">
        <x:v>Controlar créditos</x:v>
      </x:c>
      <x:c r="D48" s="38" t="str">
        <x:v>Gestionar ajustes autorizados</x:v>
      </x:c>
      <x:c r="E48" s="38" t="str">
        <x:v>Como administrador, quiero gestionar ajustes autorizados para usar créditos virtuales de manera segura y verificable.</x:v>
      </x:c>
      <x:c r="F48" s="46" t="str">
        <x:v>Could</x:v>
      </x:c>
      <x:c r="G48" s="39" t="str">
        <x:v>E3</x:v>
      </x:c>
      <x:c r="H48" s="39" t="n">
        <x:v>8</x:v>
      </x:c>
      <x:c r="I48" s="39" t="n">
        <x:v>4</x:v>
      </x:c>
      <x:c r="J48" s="38" t="str">
        <x:v>Camilo Bastias · Database Administrator (DBA)</x:v>
      </x:c>
      <x:c r="K48" s="39" t="str">
        <x:v>Pendiente</x:v>
      </x:c>
      <x:c r="L48" s="38" t="str">
        <x:v>MP-048</x:v>
      </x:c>
      <x:c r="M48" s="38" t="str">
        <x:v>Técnica</x:v>
      </x:c>
      <x:c r="N48" s="42" t="str">
        <x:v>Alto</x:v>
      </x:c>
      <x:c r="O48" s="38" t="str">
        <x:v>Se relaciona con las correcciones controladas de E2 (MP-058 y MP-065); revisar solapamiento.</x:v>
      </x:c>
    </x:row>
    <x:row r="49" ht="57" customHeight="1">
      <x:c r="A49" s="30" t="str">
        <x:v>MP-043</x:v>
      </x:c>
      <x:c r="B49" s="30" t="str">
        <x:v>Créditos, operaciones e historial</x:v>
      </x:c>
      <x:c r="C49" s="30" t="str">
        <x:v>Operaciones confiables</x:v>
      </x:c>
      <x:c r="D49" s="30" t="str">
        <x:v>Registrar cada movimiento</x:v>
      </x:c>
      <x:c r="E49" s="30" t="str">
        <x:v>Como responsable de control, quiero registrar cada movimiento para evitar descuentos duplicados y saldos inconsistentes.</x:v>
      </x:c>
      <x:c r="F49" s="36" t="str">
        <x:v>Must</x:v>
      </x:c>
      <x:c r="G49" s="34" t="str">
        <x:v>E1 - MVP</x:v>
      </x:c>
      <x:c r="H49" s="34" t="n">
        <x:v>8</x:v>
      </x:c>
      <x:c r="I49" s="34" t="n">
        <x:v>5</x:v>
      </x:c>
      <x:c r="J49" s="30" t="str">
        <x:v>Maicol Rubiano · Backend Developer</x:v>
      </x:c>
      <x:c r="K49" s="34" t="str">
        <x:v>Pendiente</x:v>
      </x:c>
      <x:c r="L49" s="30" t="str">
        <x:v>MP-037</x:v>
      </x:c>
      <x:c r="M49" s="30" t="str">
        <x:v>Técnica</x:v>
      </x:c>
      <x:c r="N49" s="42" t="str">
        <x:v>Alto</x:v>
      </x:c>
      <x:c r="O49" s="30" t="str"/>
    </x:row>
    <x:row r="50" ht="57" customHeight="1">
      <x:c r="A50" s="38" t="str">
        <x:v>MP-044</x:v>
      </x:c>
      <x:c r="B50" s="38" t="str">
        <x:v>Créditos, operaciones e historial</x:v>
      </x:c>
      <x:c r="C50" s="38" t="str">
        <x:v>Operaciones confiables</x:v>
      </x:c>
      <x:c r="D50" s="38" t="str">
        <x:v>Evitar solicitudes repetidas</x:v>
      </x:c>
      <x:c r="E50" s="38" t="str">
        <x:v>Como participante, quiero evitar solicitudes repetidas para evitar descuentos duplicados y saldos inconsistentes.</x:v>
      </x:c>
      <x:c r="F50" s="36" t="str">
        <x:v>Must</x:v>
      </x:c>
      <x:c r="G50" s="39" t="str">
        <x:v>E1 - MVP</x:v>
      </x:c>
      <x:c r="H50" s="39" t="n">
        <x:v>8</x:v>
      </x:c>
      <x:c r="I50" s="39" t="n">
        <x:v>5</x:v>
      </x:c>
      <x:c r="J50" s="38" t="str">
        <x:v>Maicol Rubiano · Backend Developer</x:v>
      </x:c>
      <x:c r="K50" s="39" t="str">
        <x:v>Pendiente</x:v>
      </x:c>
      <x:c r="L50" s="38" t="str">
        <x:v>MP-043</x:v>
      </x:c>
      <x:c r="M50" s="38" t="str">
        <x:v>Técnica</x:v>
      </x:c>
      <x:c r="N50" s="42" t="str">
        <x:v>Alto</x:v>
      </x:c>
      <x:c r="O50" s="38" t="str">
        <x:v>Requiere idempotencia: solicitudes repetidas no generan doble descuento.</x:v>
      </x:c>
    </x:row>
    <x:row r="51" ht="57" customHeight="1">
      <x:c r="A51" s="30" t="str">
        <x:v>MP-045</x:v>
      </x:c>
      <x:c r="B51" s="30" t="str">
        <x:v>Créditos, operaciones e historial</x:v>
      </x:c>
      <x:c r="C51" s="30" t="str">
        <x:v>Operaciones confiables</x:v>
      </x:c>
      <x:c r="D51" s="30" t="str">
        <x:v>Proteger operaciones simultáneas</x:v>
      </x:c>
      <x:c r="E51" s="30" t="str">
        <x:v>Como responsable de la plataforma, quiero proteger operaciones simultáneas para evitar descuentos duplicados y saldos inconsistentes.</x:v>
      </x:c>
      <x:c r="F51" s="36" t="str">
        <x:v>Must</x:v>
      </x:c>
      <x:c r="G51" s="34" t="str">
        <x:v>E1 - MVP</x:v>
      </x:c>
      <x:c r="H51" s="34" t="n">
        <x:v>13</x:v>
      </x:c>
      <x:c r="I51" s="34" t="n">
        <x:v>5</x:v>
      </x:c>
      <x:c r="J51" s="30" t="str">
        <x:v>Maicol Rubiano · Backend Developer</x:v>
      </x:c>
      <x:c r="K51" s="34" t="str">
        <x:v>Pendiente</x:v>
      </x:c>
      <x:c r="L51" s="30" t="str">
        <x:v>MP-038</x:v>
      </x:c>
      <x:c r="M51" s="30" t="str">
        <x:v>Técnica</x:v>
      </x:c>
      <x:c r="N51" s="42" t="str">
        <x:v>Alto</x:v>
      </x:c>
      <x:c r="O51" s="30" t="str">
        <x:v>Requiere control de concurrencia del saldo.</x:v>
      </x:c>
    </x:row>
    <x:row r="52" ht="57" customHeight="1">
      <x:c r="A52" s="38" t="str">
        <x:v>MP-046</x:v>
      </x:c>
      <x:c r="B52" s="38" t="str">
        <x:v>Créditos, operaciones e historial</x:v>
      </x:c>
      <x:c r="C52" s="38" t="str">
        <x:v>Operaciones confiables</x:v>
      </x:c>
      <x:c r="D52" s="38" t="str">
        <x:v>Manejar fallos de operación</x:v>
      </x:c>
      <x:c r="E52" s="38" t="str">
        <x:v>Como responsable de la plataforma, quiero manejar fallos de operación para evitar descuentos duplicados y saldos inconsistentes.</x:v>
      </x:c>
      <x:c r="F52" s="44" t="str">
        <x:v>Should</x:v>
      </x:c>
      <x:c r="G52" s="39" t="str">
        <x:v>E2</x:v>
      </x:c>
      <x:c r="H52" s="39" t="n">
        <x:v>8</x:v>
      </x:c>
      <x:c r="I52" s="39" t="n">
        <x:v>4</x:v>
      </x:c>
      <x:c r="J52" s="38" t="str">
        <x:v>Maicol Rubiano · Backend Developer</x:v>
      </x:c>
      <x:c r="K52" s="39" t="str">
        <x:v>Pendiente</x:v>
      </x:c>
      <x:c r="L52" s="38" t="str">
        <x:v>MP-043</x:v>
      </x:c>
      <x:c r="M52" s="38" t="str">
        <x:v>Técnica</x:v>
      </x:c>
      <x:c r="N52" s="42" t="str">
        <x:v>Alto</x:v>
      </x:c>
      <x:c r="O52" s="38" t="str">
        <x:v>El control transaccional básico debe estar en E1; E2 profundiza recuperación y fallos.</x:v>
      </x:c>
    </x:row>
    <x:row r="53" ht="57" customHeight="1">
      <x:c r="A53" s="30" t="str">
        <x:v>MP-047</x:v>
      </x:c>
      <x:c r="B53" s="30" t="str">
        <x:v>Créditos, operaciones e historial</x:v>
      </x:c>
      <x:c r="C53" s="30" t="str">
        <x:v>Operaciones confiables</x:v>
      </x:c>
      <x:c r="D53" s="30" t="str">
        <x:v>Vincular movimiento y origen</x:v>
      </x:c>
      <x:c r="E53" s="30" t="str">
        <x:v>Como responsable de control, quiero vincular movimiento y origen para evitar descuentos duplicados y saldos inconsistentes.</x:v>
      </x:c>
      <x:c r="F53" s="44" t="str">
        <x:v>Should</x:v>
      </x:c>
      <x:c r="G53" s="34" t="str">
        <x:v>E2</x:v>
      </x:c>
      <x:c r="H53" s="34" t="n">
        <x:v>5</x:v>
      </x:c>
      <x:c r="I53" s="34" t="n">
        <x:v>4</x:v>
      </x:c>
      <x:c r="J53" s="30" t="str">
        <x:v>Maicol Rubiano · Backend Developer</x:v>
      </x:c>
      <x:c r="K53" s="34" t="str">
        <x:v>Pendiente</x:v>
      </x:c>
      <x:c r="L53" s="30" t="str">
        <x:v>MP-043</x:v>
      </x:c>
      <x:c r="M53" s="30" t="str">
        <x:v>Técnica</x:v>
      </x:c>
      <x:c r="N53" s="42" t="str">
        <x:v>Alto</x:v>
      </x:c>
      <x:c r="O53" s="30" t="str">
        <x:v>El vínculo de origen básico ya se exige en MP-043 (E1).</x:v>
      </x:c>
    </x:row>
    <x:row r="54" ht="57" customHeight="1">
      <x:c r="A54" s="38" t="str">
        <x:v>MP-048</x:v>
      </x:c>
      <x:c r="B54" s="38" t="str">
        <x:v>Créditos, operaciones e historial</x:v>
      </x:c>
      <x:c r="C54" s="38" t="str">
        <x:v>Operaciones confiables</x:v>
      </x:c>
      <x:c r="D54" s="38" t="str">
        <x:v>Conservar historial al corregir</x:v>
      </x:c>
      <x:c r="E54" s="38" t="str">
        <x:v>Como responsable de control, quiero conservar historial al corregir para evitar descuentos duplicados y saldos inconsistentes.</x:v>
      </x:c>
      <x:c r="F54" s="46" t="str">
        <x:v>Could</x:v>
      </x:c>
      <x:c r="G54" s="39" t="str">
        <x:v>E3</x:v>
      </x:c>
      <x:c r="H54" s="39" t="n">
        <x:v>8</x:v>
      </x:c>
      <x:c r="I54" s="39" t="n">
        <x:v>4</x:v>
      </x:c>
      <x:c r="J54" s="38" t="str">
        <x:v>Maicol Rubiano · Backend Developer</x:v>
      </x:c>
      <x:c r="K54" s="39" t="str">
        <x:v>Pendiente</x:v>
      </x:c>
      <x:c r="L54" s="38" t="str">
        <x:v>MP-043, MP-047</x:v>
      </x:c>
      <x:c r="M54" s="38" t="str">
        <x:v>Técnica</x:v>
      </x:c>
      <x:c r="N54" s="42" t="str">
        <x:v>Alto</x:v>
      </x:c>
      <x:c r="O54" s="38" t="str">
        <x:v>Las reversiones deben mantener historial, incluso si se implementan en etapas posteriores.</x:v>
      </x:c>
    </x:row>
    <x:row r="55" ht="57" customHeight="1">
      <x:c r="A55" s="30" t="str">
        <x:v>MP-049</x:v>
      </x:c>
      <x:c r="B55" s="30" t="str">
        <x:v>Créditos, operaciones e historial</x:v>
      </x:c>
      <x:c r="C55" s="30" t="str">
        <x:v>Mi actividad e historial</x:v>
      </x:c>
      <x:c r="D55" s="30" t="str">
        <x:v>Consultar mi saldo</x:v>
      </x:c>
      <x:c r="E55" s="30" t="str">
        <x:v>Como participante, quiero consultar mi saldo para revisar mis participaciones, saldos y movimientos.</x:v>
      </x:c>
      <x:c r="F55" s="36" t="str">
        <x:v>Must</x:v>
      </x:c>
      <x:c r="G55" s="34" t="str">
        <x:v>E1 - MVP</x:v>
      </x:c>
      <x:c r="H55" s="34" t="n">
        <x:v>3</x:v>
      </x:c>
      <x:c r="I55" s="34" t="n">
        <x:v>4</x:v>
      </x:c>
      <x:c r="J55" s="30" t="str">
        <x:v>Diego Romero · Frontend Developer</x:v>
      </x:c>
      <x:c r="K55" s="34" t="str">
        <x:v>Pendiente</x:v>
      </x:c>
      <x:c r="L55" s="30" t="str">
        <x:v>MP-002, MP-037</x:v>
      </x:c>
      <x:c r="M55" s="30" t="str">
        <x:v>Funcional</x:v>
      </x:c>
      <x:c r="N55" s="30" t="str">
        <x:v>Medio</x:v>
      </x:c>
      <x:c r="O55" s="30" t="str"/>
    </x:row>
    <x:row r="56" ht="57" customHeight="1">
      <x:c r="A56" s="38" t="str">
        <x:v>MP-050</x:v>
      </x:c>
      <x:c r="B56" s="38" t="str">
        <x:v>Créditos, operaciones e historial</x:v>
      </x:c>
      <x:c r="C56" s="38" t="str">
        <x:v>Mi actividad e historial</x:v>
      </x:c>
      <x:c r="D56" s="38" t="str">
        <x:v>Consultar mis pronósticos</x:v>
      </x:c>
      <x:c r="E56" s="38" t="str">
        <x:v>Como participante, quiero consultar mis pronósticos para revisar mis participaciones, saldos y movimientos.</x:v>
      </x:c>
      <x:c r="F56" s="36" t="str">
        <x:v>Must</x:v>
      </x:c>
      <x:c r="G56" s="39" t="str">
        <x:v>E1 - MVP</x:v>
      </x:c>
      <x:c r="H56" s="39" t="n">
        <x:v>3</x:v>
      </x:c>
      <x:c r="I56" s="39" t="n">
        <x:v>4</x:v>
      </x:c>
      <x:c r="J56" s="38" t="str">
        <x:v>Diego Romero · Frontend Developer</x:v>
      </x:c>
      <x:c r="K56" s="39" t="str">
        <x:v>Pendiente</x:v>
      </x:c>
      <x:c r="L56" s="38" t="str">
        <x:v>MP-002, MP-031</x:v>
      </x:c>
      <x:c r="M56" s="38" t="str">
        <x:v>Funcional</x:v>
      </x:c>
      <x:c r="N56" s="38" t="str">
        <x:v>Medio</x:v>
      </x:c>
      <x:c r="O56" s="38" t="str"/>
    </x:row>
    <x:row r="57" ht="57" customHeight="1">
      <x:c r="A57" s="30" t="str">
        <x:v>MP-051</x:v>
      </x:c>
      <x:c r="B57" s="30" t="str">
        <x:v>Créditos, operaciones e historial</x:v>
      </x:c>
      <x:c r="C57" s="30" t="str">
        <x:v>Mi actividad e historial</x:v>
      </x:c>
      <x:c r="D57" s="30" t="str">
        <x:v>Consultar movimientos propios</x:v>
      </x:c>
      <x:c r="E57" s="30" t="str">
        <x:v>Como participante, quiero consultar movimientos propios para revisar mis participaciones, saldos y movimientos.</x:v>
      </x:c>
      <x:c r="F57" s="36" t="str">
        <x:v>Must</x:v>
      </x:c>
      <x:c r="G57" s="34" t="str">
        <x:v>E1 - MVP</x:v>
      </x:c>
      <x:c r="H57" s="34" t="n">
        <x:v>3</x:v>
      </x:c>
      <x:c r="I57" s="34" t="n">
        <x:v>4</x:v>
      </x:c>
      <x:c r="J57" s="30" t="str">
        <x:v>Diego Romero · Frontend Developer</x:v>
      </x:c>
      <x:c r="K57" s="34" t="str">
        <x:v>Pendiente</x:v>
      </x:c>
      <x:c r="L57" s="30" t="str">
        <x:v>MP-002, MP-043</x:v>
      </x:c>
      <x:c r="M57" s="30" t="str">
        <x:v>Funcional</x:v>
      </x:c>
      <x:c r="N57" s="30" t="str">
        <x:v>Bajo</x:v>
      </x:c>
      <x:c r="O57" s="30" t="str"/>
    </x:row>
    <x:row r="58" ht="57" customHeight="1">
      <x:c r="A58" s="38" t="str">
        <x:v>MP-052</x:v>
      </x:c>
      <x:c r="B58" s="38" t="str">
        <x:v>Créditos, operaciones e historial</x:v>
      </x:c>
      <x:c r="C58" s="38" t="str">
        <x:v>Mi actividad e historial</x:v>
      </x:c>
      <x:c r="D58" s="38" t="str">
        <x:v>Consultar estado del pronóstico</x:v>
      </x:c>
      <x:c r="E58" s="38" t="str">
        <x:v>Como participante, quiero consultar estado del pronóstico para revisar mis participaciones, saldos y movimientos.</x:v>
      </x:c>
      <x:c r="F58" s="44" t="str">
        <x:v>Should</x:v>
      </x:c>
      <x:c r="G58" s="39" t="str">
        <x:v>E2</x:v>
      </x:c>
      <x:c r="H58" s="39" t="n">
        <x:v>3</x:v>
      </x:c>
      <x:c r="I58" s="39" t="n">
        <x:v>3</x:v>
      </x:c>
      <x:c r="J58" s="38" t="str">
        <x:v>Diego Romero · Frontend Developer</x:v>
      </x:c>
      <x:c r="K58" s="39" t="str">
        <x:v>Pendiente</x:v>
      </x:c>
      <x:c r="L58" s="38" t="str">
        <x:v>MP-050, MP-061</x:v>
      </x:c>
      <x:c r="M58" s="38" t="str">
        <x:v>Funcional</x:v>
      </x:c>
      <x:c r="N58" s="38" t="str">
        <x:v>Medio</x:v>
      </x:c>
      <x:c r="O58" s="38" t="str"/>
    </x:row>
    <x:row r="59" ht="57" customHeight="1">
      <x:c r="A59" s="30" t="str">
        <x:v>MP-053</x:v>
      </x:c>
      <x:c r="B59" s="30" t="str">
        <x:v>Créditos, operaciones e historial</x:v>
      </x:c>
      <x:c r="C59" s="30" t="str">
        <x:v>Mi actividad e historial</x:v>
      </x:c>
      <x:c r="D59" s="30" t="str">
        <x:v>Ver detalle de transacción</x:v>
      </x:c>
      <x:c r="E59" s="30" t="str">
        <x:v>Como participante, quiero ver detalle de transacción para revisar mis participaciones, saldos y movimientos.</x:v>
      </x:c>
      <x:c r="F59" s="44" t="str">
        <x:v>Should</x:v>
      </x:c>
      <x:c r="G59" s="34" t="str">
        <x:v>E2</x:v>
      </x:c>
      <x:c r="H59" s="34" t="n">
        <x:v>3</x:v>
      </x:c>
      <x:c r="I59" s="34" t="n">
        <x:v>3</x:v>
      </x:c>
      <x:c r="J59" s="30" t="str">
        <x:v>Diego Romero · Frontend Developer</x:v>
      </x:c>
      <x:c r="K59" s="34" t="str">
        <x:v>Pendiente</x:v>
      </x:c>
      <x:c r="L59" s="30" t="str">
        <x:v>MP-051</x:v>
      </x:c>
      <x:c r="M59" s="30" t="str">
        <x:v>Funcional</x:v>
      </x:c>
      <x:c r="N59" s="30" t="str">
        <x:v>Medio</x:v>
      </x:c>
      <x:c r="O59" s="30" t="str"/>
    </x:row>
    <x:row r="60" ht="57" customHeight="1">
      <x:c r="A60" s="38" t="str">
        <x:v>MP-054</x:v>
      </x:c>
      <x:c r="B60" s="38" t="str">
        <x:v>Créditos, operaciones e historial</x:v>
      </x:c>
      <x:c r="C60" s="38" t="str">
        <x:v>Mi actividad e historial</x:v>
      </x:c>
      <x:c r="D60" s="38" t="str">
        <x:v>Filtrar historial personal</x:v>
      </x:c>
      <x:c r="E60" s="38" t="str">
        <x:v>Como participante, quiero filtrar historial personal para revisar mis participaciones, saldos y movimientos.</x:v>
      </x:c>
      <x:c r="F60" s="46" t="str">
        <x:v>Could</x:v>
      </x:c>
      <x:c r="G60" s="39" t="str">
        <x:v>E3</x:v>
      </x:c>
      <x:c r="H60" s="39" t="n">
        <x:v>3</x:v>
      </x:c>
      <x:c r="I60" s="39" t="n">
        <x:v>2</x:v>
      </x:c>
      <x:c r="J60" s="38" t="str">
        <x:v>Diego Romero · Frontend Developer</x:v>
      </x:c>
      <x:c r="K60" s="39" t="str">
        <x:v>Pendiente</x:v>
      </x:c>
      <x:c r="L60" s="38" t="str">
        <x:v>MP-051</x:v>
      </x:c>
      <x:c r="M60" s="38" t="str">
        <x:v>Funcional</x:v>
      </x:c>
      <x:c r="N60" s="38" t="str">
        <x:v>Bajo</x:v>
      </x:c>
      <x:c r="O60" s="38" t="str"/>
    </x:row>
    <x:row r="61" ht="57" customHeight="1">
      <x:c r="A61" s="30" t="str">
        <x:v>MP-055</x:v>
      </x:c>
      <x:c r="B61" s="30" t="str">
        <x:v>Resultados, liquidación y auditoría</x:v>
      </x:c>
      <x:c r="C61" s="30" t="str">
        <x:v>Publicar resultados</x:v>
      </x:c>
      <x:c r="D61" s="30" t="str">
        <x:v>Cerrar recepción de pronósticos</x:v>
      </x:c>
      <x:c r="E61" s="30" t="str">
        <x:v>Como administrador, quiero cerrar recepción de pronósticos para confirmar los resultados oficiales de manera controlada.</x:v>
      </x:c>
      <x:c r="F61" s="36" t="str">
        <x:v>Must</x:v>
      </x:c>
      <x:c r="G61" s="34" t="str">
        <x:v>E1 - MVP</x:v>
      </x:c>
      <x:c r="H61" s="34" t="n">
        <x:v>5</x:v>
      </x:c>
      <x:c r="I61" s="34" t="n">
        <x:v>5</x:v>
      </x:c>
      <x:c r="J61" s="30" t="str">
        <x:v>Maicol Rubiano · Backend Developer</x:v>
      </x:c>
      <x:c r="K61" s="34" t="str">
        <x:v>Pendiente</x:v>
      </x:c>
      <x:c r="L61" s="30" t="str">
        <x:v>MP-014</x:v>
      </x:c>
      <x:c r="M61" s="30" t="str">
        <x:v>Funcional</x:v>
      </x:c>
      <x:c r="N61" s="42" t="str">
        <x:v>Alto</x:v>
      </x:c>
      <x:c r="O61" s="30" t="str"/>
    </x:row>
    <x:row r="62" ht="57" customHeight="1">
      <x:c r="A62" s="38" t="str">
        <x:v>MP-056</x:v>
      </x:c>
      <x:c r="B62" s="38" t="str">
        <x:v>Resultados, liquidación y auditoría</x:v>
      </x:c>
      <x:c r="C62" s="38" t="str">
        <x:v>Publicar resultados</x:v>
      </x:c>
      <x:c r="D62" s="38" t="str">
        <x:v>Publicar resultado oficial</x:v>
      </x:c>
      <x:c r="E62" s="38" t="str">
        <x:v>Como administrador, quiero publicar resultado oficial para confirmar los resultados oficiales de manera controlada.</x:v>
      </x:c>
      <x:c r="F62" s="36" t="str">
        <x:v>Must</x:v>
      </x:c>
      <x:c r="G62" s="39" t="str">
        <x:v>E1 - MVP</x:v>
      </x:c>
      <x:c r="H62" s="39" t="n">
        <x:v>5</x:v>
      </x:c>
      <x:c r="I62" s="39" t="n">
        <x:v>5</x:v>
      </x:c>
      <x:c r="J62" s="38" t="str">
        <x:v>Maicol Rubiano · Backend Developer</x:v>
      </x:c>
      <x:c r="K62" s="39" t="str">
        <x:v>Pendiente</x:v>
      </x:c>
      <x:c r="L62" s="38" t="str">
        <x:v>MP-055</x:v>
      </x:c>
      <x:c r="M62" s="38" t="str">
        <x:v>Funcional</x:v>
      </x:c>
      <x:c r="N62" s="38" t="str">
        <x:v>Medio</x:v>
      </x:c>
      <x:c r="O62" s="38" t="str"/>
    </x:row>
    <x:row r="63" ht="57" customHeight="1">
      <x:c r="A63" s="30" t="str">
        <x:v>MP-057</x:v>
      </x:c>
      <x:c r="B63" s="30" t="str">
        <x:v>Resultados, liquidación y auditoría</x:v>
      </x:c>
      <x:c r="C63" s="30" t="str">
        <x:v>Publicar resultados</x:v>
      </x:c>
      <x:c r="D63" s="30" t="str">
        <x:v>Validar permisos de publicación</x:v>
      </x:c>
      <x:c r="E63" s="30" t="str">
        <x:v>Como administrador, quiero validar permisos de publicación para confirmar los resultados oficiales de manera controlada.</x:v>
      </x:c>
      <x:c r="F63" s="36" t="str">
        <x:v>Must</x:v>
      </x:c>
      <x:c r="G63" s="34" t="str">
        <x:v>E1 - MVP</x:v>
      </x:c>
      <x:c r="H63" s="34" t="n">
        <x:v>3</x:v>
      </x:c>
      <x:c r="I63" s="34" t="n">
        <x:v>5</x:v>
      </x:c>
      <x:c r="J63" s="30" t="str">
        <x:v>Maicol Rubiano · Backend Developer</x:v>
      </x:c>
      <x:c r="K63" s="34" t="str">
        <x:v>Pendiente</x:v>
      </x:c>
      <x:c r="L63" s="30" t="str">
        <x:v>MP-003</x:v>
      </x:c>
      <x:c r="M63" s="30" t="str">
        <x:v>Funcional</x:v>
      </x:c>
      <x:c r="N63" s="42" t="str">
        <x:v>Alto</x:v>
      </x:c>
      <x:c r="O63" s="30" t="str"/>
    </x:row>
    <x:row r="64" ht="57" customHeight="1">
      <x:c r="A64" s="38" t="str">
        <x:v>MP-058</x:v>
      </x:c>
      <x:c r="B64" s="38" t="str">
        <x:v>Resultados, liquidación y auditoría</x:v>
      </x:c>
      <x:c r="C64" s="38" t="str">
        <x:v>Publicar resultados</x:v>
      </x:c>
      <x:c r="D64" s="38" t="str">
        <x:v>Corregir resultado con control</x:v>
      </x:c>
      <x:c r="E64" s="38" t="str">
        <x:v>Como administrador, quiero corregir resultado con control para confirmar los resultados oficiales de manera controlada.</x:v>
      </x:c>
      <x:c r="F64" s="44" t="str">
        <x:v>Should</x:v>
      </x:c>
      <x:c r="G64" s="39" t="str">
        <x:v>E2</x:v>
      </x:c>
      <x:c r="H64" s="39" t="n">
        <x:v>8</x:v>
      </x:c>
      <x:c r="I64" s="39" t="n">
        <x:v>4</x:v>
      </x:c>
      <x:c r="J64" s="38" t="str">
        <x:v>Maicol Rubiano · Backend Developer</x:v>
      </x:c>
      <x:c r="K64" s="39" t="str">
        <x:v>Pendiente</x:v>
      </x:c>
      <x:c r="L64" s="38" t="str">
        <x:v>MP-056, MP-059</x:v>
      </x:c>
      <x:c r="M64" s="38" t="str">
        <x:v>Funcional</x:v>
      </x:c>
      <x:c r="N64" s="42" t="str">
        <x:v>Alto</x:v>
      </x:c>
      <x:c r="O64" s="38" t="str">
        <x:v>La corrección de resultados debe contemplar créditos/liquidaciones ya efectuadas.</x:v>
      </x:c>
    </x:row>
    <x:row r="65" ht="57" customHeight="1">
      <x:c r="A65" s="30" t="str">
        <x:v>MP-059</x:v>
      </x:c>
      <x:c r="B65" s="30" t="str">
        <x:v>Resultados, liquidación y auditoría</x:v>
      </x:c>
      <x:c r="C65" s="30" t="str">
        <x:v>Publicar resultados</x:v>
      </x:c>
      <x:c r="D65" s="30" t="str">
        <x:v>Registrar historial de cambios</x:v>
      </x:c>
      <x:c r="E65" s="30" t="str">
        <x:v>Como administrador, quiero registrar historial de cambios para confirmar los resultados oficiales de manera controlada.</x:v>
      </x:c>
      <x:c r="F65" s="44" t="str">
        <x:v>Should</x:v>
      </x:c>
      <x:c r="G65" s="34" t="str">
        <x:v>E2</x:v>
      </x:c>
      <x:c r="H65" s="34" t="n">
        <x:v>5</x:v>
      </x:c>
      <x:c r="I65" s="34" t="n">
        <x:v>4</x:v>
      </x:c>
      <x:c r="J65" s="30" t="str">
        <x:v>Maicol Rubiano · Backend Developer</x:v>
      </x:c>
      <x:c r="K65" s="34" t="str">
        <x:v>Pendiente</x:v>
      </x:c>
      <x:c r="L65" s="30" t="str">
        <x:v>MP-056</x:v>
      </x:c>
      <x:c r="M65" s="30" t="str">
        <x:v>Funcional</x:v>
      </x:c>
      <x:c r="N65" s="42" t="str">
        <x:v>Alto</x:v>
      </x:c>
      <x:c r="O65" s="30" t="str"/>
    </x:row>
    <x:row r="66" ht="57" customHeight="1">
      <x:c r="A66" s="38" t="str">
        <x:v>MP-060</x:v>
      </x:c>
      <x:c r="B66" s="38" t="str">
        <x:v>Resultados, liquidación y auditoría</x:v>
      </x:c>
      <x:c r="C66" s="38" t="str">
        <x:v>Publicar resultados</x:v>
      </x:c>
      <x:c r="D66" s="38" t="str">
        <x:v>Revisar resultado vigente</x:v>
      </x:c>
      <x:c r="E66" s="38" t="str">
        <x:v>Como administrador, quiero revisar resultado vigente para confirmar los resultados oficiales de manera controlada.</x:v>
      </x:c>
      <x:c r="F66" s="46" t="str">
        <x:v>Could</x:v>
      </x:c>
      <x:c r="G66" s="39" t="str">
        <x:v>E3</x:v>
      </x:c>
      <x:c r="H66" s="39" t="n">
        <x:v>3</x:v>
      </x:c>
      <x:c r="I66" s="39" t="n">
        <x:v>2</x:v>
      </x:c>
      <x:c r="J66" s="38" t="str">
        <x:v>Maicol Rubiano · Backend Developer</x:v>
      </x:c>
      <x:c r="K66" s="39" t="str">
        <x:v>Pendiente</x:v>
      </x:c>
      <x:c r="L66" s="38" t="str">
        <x:v>MP-058, MP-059</x:v>
      </x:c>
      <x:c r="M66" s="38" t="str">
        <x:v>Funcional</x:v>
      </x:c>
      <x:c r="N66" s="38" t="str">
        <x:v>Bajo</x:v>
      </x:c>
      <x:c r="O66" s="38" t="str"/>
    </x:row>
    <x:row r="67" ht="57" customHeight="1">
      <x:c r="A67" s="30" t="str">
        <x:v>MP-061</x:v>
      </x:c>
      <x:c r="B67" s="30" t="str">
        <x:v>Resultados, liquidación y auditoría</x:v>
      </x:c>
      <x:c r="C67" s="30" t="str">
        <x:v>Liquidar participaciones</x:v>
      </x:c>
      <x:c r="D67" s="30" t="str">
        <x:v>Determinar pronósticos acertados</x:v>
      </x:c>
      <x:c r="E67" s="30" t="str">
        <x:v>Como administrador, quiero determinar pronósticos acertados para asignar premios correctos, una sola vez y con trazabilidad.</x:v>
      </x:c>
      <x:c r="F67" s="36" t="str">
        <x:v>Must</x:v>
      </x:c>
      <x:c r="G67" s="34" t="str">
        <x:v>E1 - MVP</x:v>
      </x:c>
      <x:c r="H67" s="34" t="n">
        <x:v>8</x:v>
      </x:c>
      <x:c r="I67" s="34" t="n">
        <x:v>5</x:v>
      </x:c>
      <x:c r="J67" s="30" t="str">
        <x:v>Maicol Rubiano · Backend Developer</x:v>
      </x:c>
      <x:c r="K67" s="34" t="str">
        <x:v>Pendiente</x:v>
      </x:c>
      <x:c r="L67" s="30" t="str">
        <x:v>MP-056, MP-031</x:v>
      </x:c>
      <x:c r="M67" s="30" t="str">
        <x:v>Funcional</x:v>
      </x:c>
      <x:c r="N67" s="42" t="str">
        <x:v>Alto</x:v>
      </x:c>
      <x:c r="O67" s="30" t="str"/>
    </x:row>
    <x:row r="68" ht="57" customHeight="1">
      <x:c r="A68" s="38" t="str">
        <x:v>MP-062</x:v>
      </x:c>
      <x:c r="B68" s="38" t="str">
        <x:v>Resultados, liquidación y auditoría</x:v>
      </x:c>
      <x:c r="C68" s="38" t="str">
        <x:v>Liquidar participaciones</x:v>
      </x:c>
      <x:c r="D68" s="38" t="str">
        <x:v>Liquidar y acreditar premios</x:v>
      </x:c>
      <x:c r="E68" s="38" t="str">
        <x:v>Como administrador, quiero liquidar y acreditar premios para asignar premios correctos, una sola vez y con trazabilidad.</x:v>
      </x:c>
      <x:c r="F68" s="36" t="str">
        <x:v>Must</x:v>
      </x:c>
      <x:c r="G68" s="39" t="str">
        <x:v>E1 - MVP</x:v>
      </x:c>
      <x:c r="H68" s="39" t="n">
        <x:v>13</x:v>
      </x:c>
      <x:c r="I68" s="39" t="n">
        <x:v>5</x:v>
      </x:c>
      <x:c r="J68" s="38" t="str">
        <x:v>Maicol Rubiano · Backend Developer</x:v>
      </x:c>
      <x:c r="K68" s="39" t="str">
        <x:v>Pendiente</x:v>
      </x:c>
      <x:c r="L68" s="38" t="str">
        <x:v>MP-061, MP-043, MP-044</x:v>
      </x:c>
      <x:c r="M68" s="38" t="str">
        <x:v>Funcional</x:v>
      </x:c>
      <x:c r="N68" s="42" t="str">
        <x:v>Alto</x:v>
      </x:c>
      <x:c r="O68" s="38" t="str">
        <x:v>Al registrar el premio también queda registrado su movimiento de créditos.</x:v>
      </x:c>
    </x:row>
    <x:row r="69" ht="57" customHeight="1">
      <x:c r="A69" s="30" t="str">
        <x:v>MP-063</x:v>
      </x:c>
      <x:c r="B69" s="30" t="str">
        <x:v>Resultados, liquidación y auditoría</x:v>
      </x:c>
      <x:c r="C69" s="30" t="str">
        <x:v>Liquidar participaciones</x:v>
      </x:c>
      <x:c r="D69" s="30" t="str">
        <x:v>Evitar premios duplicados</x:v>
      </x:c>
      <x:c r="E69" s="30" t="str">
        <x:v>Como responsable de la plataforma, quiero evitar premios duplicados para asignar premios correctos, una sola vez y con trazabilidad.</x:v>
      </x:c>
      <x:c r="F69" s="36" t="str">
        <x:v>Must</x:v>
      </x:c>
      <x:c r="G69" s="34" t="str">
        <x:v>E1 - MVP</x:v>
      </x:c>
      <x:c r="H69" s="34" t="n">
        <x:v>8</x:v>
      </x:c>
      <x:c r="I69" s="34" t="n">
        <x:v>5</x:v>
      </x:c>
      <x:c r="J69" s="30" t="str">
        <x:v>Maicol Rubiano · Backend Developer</x:v>
      </x:c>
      <x:c r="K69" s="34" t="str">
        <x:v>Pendiente</x:v>
      </x:c>
      <x:c r="L69" s="30" t="str">
        <x:v>MP-062</x:v>
      </x:c>
      <x:c r="M69" s="30" t="str">
        <x:v>Técnica</x:v>
      </x:c>
      <x:c r="N69" s="42" t="str">
        <x:v>Alto</x:v>
      </x:c>
      <x:c r="O69" s="30" t="str">
        <x:v>La liquidación debe ser idempotente.</x:v>
      </x:c>
    </x:row>
    <x:row r="70" ht="57" customHeight="1">
      <x:c r="A70" s="38" t="str">
        <x:v>MP-064</x:v>
      </x:c>
      <x:c r="B70" s="38" t="str">
        <x:v>Resultados, liquidación y auditoría</x:v>
      </x:c>
      <x:c r="C70" s="38" t="str">
        <x:v>Liquidar participaciones</x:v>
      </x:c>
      <x:c r="D70" s="38" t="str">
        <x:v>Consultar detalle de liquidación</x:v>
      </x:c>
      <x:c r="E70" s="38" t="str">
        <x:v>Como administrador, quiero consultar detalle de liquidación para asignar premios correctos, una sola vez y con trazabilidad.</x:v>
      </x:c>
      <x:c r="F70" s="44" t="str">
        <x:v>Should</x:v>
      </x:c>
      <x:c r="G70" s="39" t="str">
        <x:v>E2</x:v>
      </x:c>
      <x:c r="H70" s="39" t="n">
        <x:v>5</x:v>
      </x:c>
      <x:c r="I70" s="39" t="n">
        <x:v>3</x:v>
      </x:c>
      <x:c r="J70" s="38" t="str">
        <x:v>Maicol Rubiano · Backend Developer</x:v>
      </x:c>
      <x:c r="K70" s="39" t="str">
        <x:v>Pendiente</x:v>
      </x:c>
      <x:c r="L70" s="38" t="str">
        <x:v>MP-062</x:v>
      </x:c>
      <x:c r="M70" s="38" t="str">
        <x:v>Funcional</x:v>
      </x:c>
      <x:c r="N70" s="38" t="str">
        <x:v>Medio</x:v>
      </x:c>
      <x:c r="O70" s="38" t="str"/>
    </x:row>
    <x:row r="71" ht="57" customHeight="1">
      <x:c r="A71" s="30" t="str">
        <x:v>MP-065</x:v>
      </x:c>
      <x:c r="B71" s="30" t="str">
        <x:v>Resultados, liquidación y auditoría</x:v>
      </x:c>
      <x:c r="C71" s="30" t="str">
        <x:v>Liquidar participaciones</x:v>
      </x:c>
      <x:c r="D71" s="30" t="str">
        <x:v>Reprocesar correcciones válidas</x:v>
      </x:c>
      <x:c r="E71" s="30" t="str">
        <x:v>Como administrador, quiero reprocesar correcciones válidas para asignar premios correctos, una sola vez y con trazabilidad.</x:v>
      </x:c>
      <x:c r="F71" s="44" t="str">
        <x:v>Should</x:v>
      </x:c>
      <x:c r="G71" s="34" t="str">
        <x:v>E2</x:v>
      </x:c>
      <x:c r="H71" s="34" t="n">
        <x:v>13</x:v>
      </x:c>
      <x:c r="I71" s="34" t="n">
        <x:v>4</x:v>
      </x:c>
      <x:c r="J71" s="30" t="str">
        <x:v>Maicol Rubiano · Backend Developer</x:v>
      </x:c>
      <x:c r="K71" s="34" t="str">
        <x:v>Pendiente</x:v>
      </x:c>
      <x:c r="L71" s="30" t="str">
        <x:v>MP-058, MP-062, MP-047</x:v>
      </x:c>
      <x:c r="M71" s="30" t="str">
        <x:v>Funcional</x:v>
      </x:c>
      <x:c r="N71" s="42" t="str">
        <x:v>Alto</x:v>
      </x:c>
      <x:c r="O71" s="30" t="str">
        <x:v>La corrección conlleva reversión/ajuste, sin borrar transacciones previas.</x:v>
      </x:c>
    </x:row>
    <x:row r="72" ht="57" customHeight="1">
      <x:c r="A72" s="38" t="str">
        <x:v>MP-066</x:v>
      </x:c>
      <x:c r="B72" s="38" t="str">
        <x:v>Resultados, liquidación y auditoría</x:v>
      </x:c>
      <x:c r="C72" s="38" t="str">
        <x:v>Liquidar participaciones</x:v>
      </x:c>
      <x:c r="D72" s="38" t="str">
        <x:v>Consultar liquidaciones por torneo</x:v>
      </x:c>
      <x:c r="E72" s="38" t="str">
        <x:v>Como administrador, quiero consultar liquidaciones por torneo para asignar premios correctos, una sola vez y con trazabilidad.</x:v>
      </x:c>
      <x:c r="F72" s="46" t="str">
        <x:v>Could</x:v>
      </x:c>
      <x:c r="G72" s="39" t="str">
        <x:v>E3</x:v>
      </x:c>
      <x:c r="H72" s="39" t="n">
        <x:v>5</x:v>
      </x:c>
      <x:c r="I72" s="39" t="n">
        <x:v>2</x:v>
      </x:c>
      <x:c r="J72" s="38" t="str">
        <x:v>Maicol Rubiano · Backend Developer</x:v>
      </x:c>
      <x:c r="K72" s="39" t="str">
        <x:v>Pendiente</x:v>
      </x:c>
      <x:c r="L72" s="38" t="str">
        <x:v>MP-064</x:v>
      </x:c>
      <x:c r="M72" s="38" t="str">
        <x:v>Funcional</x:v>
      </x:c>
      <x:c r="N72" s="38" t="str">
        <x:v>Bajo</x:v>
      </x:c>
      <x:c r="O72" s="38" t="str"/>
    </x:row>
    <x:row r="73" ht="57" customHeight="1">
      <x:c r="A73" s="30" t="str">
        <x:v>MP-067</x:v>
      </x:c>
      <x:c r="B73" s="30" t="str">
        <x:v>Resultados, liquidación y auditoría</x:v>
      </x:c>
      <x:c r="C73" s="30" t="str">
        <x:v>Auditoría y seguimiento</x:v>
      </x:c>
      <x:c r="D73" s="30" t="str">
        <x:v>Consultar transacciones</x:v>
      </x:c>
      <x:c r="E73" s="30" t="str">
        <x:v>Como responsable de control, quiero consultar transacciones para verificar operaciones y detectar posibles inconsistencias.</x:v>
      </x:c>
      <x:c r="F73" s="36" t="str">
        <x:v>Must</x:v>
      </x:c>
      <x:c r="G73" s="34" t="str">
        <x:v>E1 - MVP</x:v>
      </x:c>
      <x:c r="H73" s="34" t="n">
        <x:v>5</x:v>
      </x:c>
      <x:c r="I73" s="34" t="n">
        <x:v>4</x:v>
      </x:c>
      <x:c r="J73" s="30" t="str">
        <x:v>Camilo Bastias · Database Administrator (DBA)</x:v>
      </x:c>
      <x:c r="K73" s="34" t="str">
        <x:v>Pendiente</x:v>
      </x:c>
      <x:c r="L73" s="30" t="str">
        <x:v>MP-043</x:v>
      </x:c>
      <x:c r="M73" s="30" t="str">
        <x:v>Técnica</x:v>
      </x:c>
      <x:c r="N73" s="42" t="str">
        <x:v>Alto</x:v>
      </x:c>
      <x:c r="O73" s="30" t="str"/>
    </x:row>
    <x:row r="74" ht="57" customHeight="1">
      <x:c r="A74" s="38" t="str">
        <x:v>MP-068</x:v>
      </x:c>
      <x:c r="B74" s="38" t="str">
        <x:v>Resultados, liquidación y auditoría</x:v>
      </x:c>
      <x:c r="C74" s="38" t="str">
        <x:v>Auditoría y seguimiento</x:v>
      </x:c>
      <x:c r="D74" s="38" t="str">
        <x:v>Conciliar saldos y movimientos</x:v>
      </x:c>
      <x:c r="E74" s="38" t="str">
        <x:v>Como responsable de control, quiero conciliar saldos y movimientos para verificar operaciones y detectar posibles inconsistencias.</x:v>
      </x:c>
      <x:c r="F74" s="36" t="str">
        <x:v>Must</x:v>
      </x:c>
      <x:c r="G74" s="39" t="str">
        <x:v>E1 - MVP</x:v>
      </x:c>
      <x:c r="H74" s="39" t="n">
        <x:v>8</x:v>
      </x:c>
      <x:c r="I74" s="39" t="n">
        <x:v>5</x:v>
      </x:c>
      <x:c r="J74" s="38" t="str">
        <x:v>Camilo Bastias · Database Administrator (DBA)</x:v>
      </x:c>
      <x:c r="K74" s="39" t="str">
        <x:v>Pendiente</x:v>
      </x:c>
      <x:c r="L74" s="38" t="str">
        <x:v>MP-043, MP-039</x:v>
      </x:c>
      <x:c r="M74" s="38" t="str">
        <x:v>Técnica</x:v>
      </x:c>
      <x:c r="N74" s="42" t="str">
        <x:v>Alto</x:v>
      </x:c>
      <x:c r="O74" s="38" t="str"/>
    </x:row>
    <x:row r="75" ht="57" customHeight="1">
      <x:c r="A75" s="30" t="str">
        <x:v>MP-069</x:v>
      </x:c>
      <x:c r="B75" s="30" t="str">
        <x:v>Resultados, liquidación y auditoría</x:v>
      </x:c>
      <x:c r="C75" s="30" t="str">
        <x:v>Auditoría y seguimiento</x:v>
      </x:c>
      <x:c r="D75" s="30" t="str">
        <x:v>Revisar liquidaciones realizadas</x:v>
      </x:c>
      <x:c r="E75" s="30" t="str">
        <x:v>Como responsable de control, quiero revisar liquidaciones realizadas para verificar operaciones y detectar posibles inconsistencias.</x:v>
      </x:c>
      <x:c r="F75" s="36" t="str">
        <x:v>Must</x:v>
      </x:c>
      <x:c r="G75" s="34" t="str">
        <x:v>E1 - MVP</x:v>
      </x:c>
      <x:c r="H75" s="34" t="n">
        <x:v>5</x:v>
      </x:c>
      <x:c r="I75" s="34" t="n">
        <x:v>4</x:v>
      </x:c>
      <x:c r="J75" s="30" t="str">
        <x:v>Camilo Bastias · Database Administrator (DBA)</x:v>
      </x:c>
      <x:c r="K75" s="34" t="str">
        <x:v>Pendiente</x:v>
      </x:c>
      <x:c r="L75" s="30" t="str">
        <x:v>MP-062</x:v>
      </x:c>
      <x:c r="M75" s="30" t="str">
        <x:v>Técnica</x:v>
      </x:c>
      <x:c r="N75" s="30" t="str">
        <x:v>Bajo</x:v>
      </x:c>
      <x:c r="O75" s="30" t="str"/>
    </x:row>
    <x:row r="76" ht="57" customHeight="1">
      <x:c r="A76" s="38" t="str">
        <x:v>MP-070</x:v>
      </x:c>
      <x:c r="B76" s="38" t="str">
        <x:v>Resultados, liquidación y auditoría</x:v>
      </x:c>
      <x:c r="C76" s="38" t="str">
        <x:v>Auditoría y seguimiento</x:v>
      </x:c>
      <x:c r="D76" s="38" t="str">
        <x:v>Detectar inconsistencias</x:v>
      </x:c>
      <x:c r="E76" s="38" t="str">
        <x:v>Como responsable de control, quiero detectar inconsistencias para verificar operaciones y detectar posibles inconsistencias.</x:v>
      </x:c>
      <x:c r="F76" s="44" t="str">
        <x:v>Should</x:v>
      </x:c>
      <x:c r="G76" s="39" t="str">
        <x:v>E2</x:v>
      </x:c>
      <x:c r="H76" s="39" t="n">
        <x:v>8</x:v>
      </x:c>
      <x:c r="I76" s="39" t="n">
        <x:v>4</x:v>
      </x:c>
      <x:c r="J76" s="38" t="str">
        <x:v>Camilo Bastias · Database Administrator (DBA)</x:v>
      </x:c>
      <x:c r="K76" s="39" t="str">
        <x:v>Pendiente</x:v>
      </x:c>
      <x:c r="L76" s="38" t="str">
        <x:v>MP-068</x:v>
      </x:c>
      <x:c r="M76" s="38" t="str">
        <x:v>Técnica</x:v>
      </x:c>
      <x:c r="N76" s="42" t="str">
        <x:v>Alto</x:v>
      </x:c>
      <x:c r="O76" s="38" t="str"/>
    </x:row>
    <x:row r="77" ht="57" customHeight="1">
      <x:c r="A77" s="30" t="str">
        <x:v>MP-071</x:v>
      </x:c>
      <x:c r="B77" s="30" t="str">
        <x:v>Resultados, liquidación y auditoría</x:v>
      </x:c>
      <x:c r="C77" s="30" t="str">
        <x:v>Auditoría y seguimiento</x:v>
      </x:c>
      <x:c r="D77" s="30" t="str">
        <x:v>Gestionar correcciones verificables</x:v>
      </x:c>
      <x:c r="E77" s="30" t="str">
        <x:v>Como responsable de control, quiero gestionar correcciones verificables para verificar operaciones y detectar posibles inconsistencias.</x:v>
      </x:c>
      <x:c r="F77" s="44" t="str">
        <x:v>Should</x:v>
      </x:c>
      <x:c r="G77" s="34" t="str">
        <x:v>E2</x:v>
      </x:c>
      <x:c r="H77" s="34" t="n">
        <x:v>8</x:v>
      </x:c>
      <x:c r="I77" s="34" t="n">
        <x:v>4</x:v>
      </x:c>
      <x:c r="J77" s="30" t="str">
        <x:v>Camilo Bastias · Database Administrator (DBA)</x:v>
      </x:c>
      <x:c r="K77" s="34" t="str">
        <x:v>Pendiente</x:v>
      </x:c>
      <x:c r="L77" s="30" t="str">
        <x:v>MP-047, MP-065</x:v>
      </x:c>
      <x:c r="M77" s="30" t="str">
        <x:v>Técnica</x:v>
      </x:c>
      <x:c r="N77" s="42" t="str">
        <x:v>Alto</x:v>
      </x:c>
      <x:c r="O77" s="30" t="str"/>
    </x:row>
    <x:row r="78" ht="57" customHeight="1">
      <x:c r="A78" s="38" t="str">
        <x:v>MP-072</x:v>
      </x:c>
      <x:c r="B78" s="38" t="str">
        <x:v>Resultados, liquidación y auditoría</x:v>
      </x:c>
      <x:c r="C78" s="38" t="str">
        <x:v>Auditoría y seguimiento</x:v>
      </x:c>
      <x:c r="D78" s="38" t="str">
        <x:v>Obtener reportes consolidados</x:v>
      </x:c>
      <x:c r="E78" s="38" t="str">
        <x:v>Como responsable de control, quiero obtener reportes consolidados para verificar operaciones y detectar posibles inconsistencias.</x:v>
      </x:c>
      <x:c r="F78" s="46" t="str">
        <x:v>Could</x:v>
      </x:c>
      <x:c r="G78" s="39" t="str">
        <x:v>E3</x:v>
      </x:c>
      <x:c r="H78" s="39" t="n">
        <x:v>5</x:v>
      </x:c>
      <x:c r="I78" s="39" t="n">
        <x:v>2</x:v>
      </x:c>
      <x:c r="J78" s="38" t="str">
        <x:v>Camilo Bastias · Database Administrator (DBA)</x:v>
      </x:c>
      <x:c r="K78" s="39" t="str">
        <x:v>Pendiente</x:v>
      </x:c>
      <x:c r="L78" s="38" t="str">
        <x:v>MP-066, MP-067</x:v>
      </x:c>
      <x:c r="M78" s="38" t="str">
        <x:v>Técnica</x:v>
      </x:c>
      <x:c r="N78" s="38" t="str">
        <x:v>Bajo</x:v>
      </x:c>
      <x:c r="O78" s="38" t="str"/>
    </x:row>
  </x:sheetData>
  <x:mergeCells>
    <x:mergeCell ref="A1:O1"/>
    <x:mergeCell ref="A2:O2"/>
    <x:mergeCell ref="A3:O3"/>
    <x:mergeCell ref="A4:O4"/>
  </x:mergeCells>
  <x:dataValidations count="4">
    <x:dataValidation type="list" sqref="F7:F78">
      <x:formula1>"Must,Should,Could,Won't"</x:formula1>
    </x:dataValidation>
    <x:dataValidation type="list" sqref="K7:K78">
      <x:formula1>"Pendiente,En análisis,Listo para iniciar,En desarrollo,En pruebas,Terminado,Bloqueado"</x:formula1>
    </x:dataValidation>
    <x:dataValidation type="list" sqref="G7:G78">
      <x:formula1>"E1 - MVP,E2,E3,Por definir"</x:formula1>
    </x:dataValidation>
    <x:dataValidation type="list" sqref="N7:N78">
      <x:formula1>"Alto,Medio,Bajo"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97bf8e4bd442a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52" hidden="0" customWidth="1"/>
    <x:col min="4" max="4" width="55" hidden="0" customWidth="1"/>
    <x:col min="5" max="5" width="56" hidden="0" customWidth="1"/>
    <x:col min="6" max="6" width="13" hidden="0" customWidth="1"/>
    <x:col min="7" max="7" width="30" hidden="0" customWidth="1"/>
  </x:cols>
  <x:sheetData>
    <x:row r="1" ht="44" customHeight="1">
      <x:c r="A1" s="4" t="str">
        <x:v>MATCHPOINT  |  CRITERIOS DE ACEPTACIÓN</x:v>
      </x:c>
      <x:c r="B1" s="4"/>
      <x:c r="C1" s="4"/>
      <x:c r="D1" s="4"/>
      <x:c r="E1" s="4"/>
      <x:c r="F1" s="4"/>
      <x:c r="G1" s="4"/>
    </x:row>
    <x:row r="2" ht="30" customHeight="1">
      <x:c r="A2" s="10" t="str">
        <x:v>Historias MP-001 a MP-072 · Criterios verificables que guían desarrollo, revisión y pruebas</x:v>
      </x:c>
      <x:c r="B2" s="10"/>
      <x:c r="C2" s="10"/>
      <x:c r="D2" s="10"/>
      <x:c r="E2" s="10"/>
      <x:c r="F2" s="10"/>
      <x:c r="G2" s="10"/>
    </x:row>
    <x:row r="3" ht="28" customHeight="1">
      <x:c r="A3" s="49" t="str">
        <x:v>Para cerrar una historia, comprueba criterios y evidencia. Los criterios propuestos deben aprobarse por el equipo y la docente.</x:v>
      </x:c>
      <x:c r="B3" s="49"/>
      <x:c r="C3" s="49"/>
      <x:c r="D3" s="49"/>
      <x:c r="E3" s="49"/>
      <x:c r="F3" s="49"/>
      <x:c r="G3" s="49"/>
    </x:row>
    <x:row r="4" ht="9" customHeight="1"/>
    <x:row r="5" ht="9" customHeight="1"/>
    <x:row r="6" ht="35" customHeight="1">
      <x:c r="A6" s="24" t="str">
        <x:v>ID</x:v>
      </x:c>
      <x:c r="B6" s="24" t="str">
        <x:v>Funcionalidad</x:v>
      </x:c>
      <x:c r="C6" s="24" t="str">
        <x:v>Criterio de aceptación 1</x:v>
      </x:c>
      <x:c r="D6" s="24" t="str">
        <x:v>Criterio de aceptación 2</x:v>
      </x:c>
      <x:c r="E6" s="24" t="str">
        <x:v>Criterio de aceptación 3 / caso crítico</x:v>
      </x:c>
      <x:c r="F6" s="24" t="str">
        <x:v>Entrega</x:v>
      </x:c>
      <x:c r="G6" s="24" t="str">
        <x:v>Área principal</x:v>
      </x:c>
    </x:row>
    <x:row r="7" ht="64" customHeight="1">
      <x:c r="A7" s="30" t="str">
        <x:v>MP-001</x:v>
      </x:c>
      <x:c r="B7" s="30" t="str">
        <x:v>Identificar a cada usuario</x:v>
      </x:c>
      <x:c r="C7" s="30" t="str">
        <x:v>La identificación distingue sin ambigüedad a los usuarios.</x:v>
      </x:c>
      <x:c r="D7" s="30" t="str">
        <x:v>Dos cuentas no pueden compartir el mismo identificador.</x:v>
      </x:c>
      <x:c r="E7" s="30" t="str">
        <x:v>—</x:v>
      </x:c>
      <x:c r="F7" s="30" t="str">
        <x:v>E1 - MVP</x:v>
      </x:c>
      <x:c r="G7" s="30" t="str">
        <x:v>Identidad y permisos</x:v>
      </x:c>
    </x:row>
    <x:row r="8" ht="64" customHeight="1">
      <x:c r="A8" s="52" t="str">
        <x:v>MP-002</x:v>
      </x:c>
      <x:c r="B8" s="52" t="str">
        <x:v>Autenticar el acceso</x:v>
      </x:c>
      <x:c r="C8" s="52" t="str">
        <x:v>Una sesión no autenticada no ejecuta acciones restringidas.</x:v>
      </x:c>
      <x:c r="D8" s="52" t="str">
        <x:v>Al cerrar sesión, no es posible volver a utilizar una sesión anterior para acciones privadas.</x:v>
      </x:c>
      <x:c r="E8" s="52" t="str">
        <x:v>—</x:v>
      </x:c>
      <x:c r="F8" s="52" t="str">
        <x:v>E1 - MVP</x:v>
      </x:c>
      <x:c r="G8" s="52" t="str">
        <x:v>Identidad y permisos</x:v>
      </x:c>
    </x:row>
    <x:row r="9" ht="64" customHeight="1">
      <x:c r="A9" s="30" t="str">
        <x:v>MP-003</x:v>
      </x:c>
      <x:c r="B9" s="30" t="str">
        <x:v>Restringir funciones por rol</x:v>
      </x:c>
      <x:c r="C9" s="30" t="str">
        <x:v>Un participante no puede usar funciones administrativas.</x:v>
      </x:c>
      <x:c r="D9" s="30" t="str">
        <x:v>La API rechaza intentos de un participante de crear torneos o publicar resultados.</x:v>
      </x:c>
      <x:c r="E9" s="54" t="str">
        <x:v>La restricción se aplica en backend y no depende solamente de ocultar botones.</x:v>
      </x:c>
      <x:c r="F9" s="30" t="str">
        <x:v>E1 - MVP</x:v>
      </x:c>
      <x:c r="G9" s="30" t="str">
        <x:v>Identidad y permisos</x:v>
      </x:c>
    </x:row>
    <x:row r="10" ht="64" customHeight="1">
      <x:c r="A10" s="52" t="str">
        <x:v>MP-004</x:v>
      </x:c>
      <x:c r="B10" s="52" t="str">
        <x:v>Consultar mi perfil</x:v>
      </x:c>
      <x:c r="C10" s="52" t="str">
        <x:v>Se muestran únicamente los datos vinculados a su identidad.</x:v>
      </x:c>
      <x:c r="D10" s="52" t="str">
        <x:v>La consulta requiere sesión activa y no expone información de otras cuentas.</x:v>
      </x:c>
      <x:c r="E10" s="52" t="str">
        <x:v>—</x:v>
      </x:c>
      <x:c r="F10" s="52" t="str">
        <x:v>E2</x:v>
      </x:c>
      <x:c r="G10" s="52" t="str">
        <x:v>Identidad y permisos</x:v>
      </x:c>
    </x:row>
    <x:row r="11" ht="64" customHeight="1">
      <x:c r="A11" s="30" t="str">
        <x:v>MP-005</x:v>
      </x:c>
      <x:c r="B11" s="30" t="str">
        <x:v>Proteger información ajena</x:v>
      </x:c>
      <x:c r="C11" s="30" t="str">
        <x:v>No puede obtener información privada de otra cuenta.</x:v>
      </x:c>
      <x:c r="D11" s="30" t="str">
        <x:v>Modificar el identificador de usuario de una consulta no devuelve datos privados ajenos.</x:v>
      </x:c>
      <x:c r="E11" s="54" t="str">
        <x:v>Las consultas de pronósticos y movimientos validan propiedad en el servidor.</x:v>
      </x:c>
      <x:c r="F11" s="30" t="str">
        <x:v>E2</x:v>
      </x:c>
      <x:c r="G11" s="30" t="str">
        <x:v>Identidad y permisos</x:v>
      </x:c>
    </x:row>
    <x:row r="12" ht="64" customHeight="1">
      <x:c r="A12" s="52" t="str">
        <x:v>MP-006</x:v>
      </x:c>
      <x:c r="B12" s="52" t="str">
        <x:v>Gestionar permisos autorizados</x:v>
      </x:c>
      <x:c r="C12" s="52" t="str">
        <x:v>Todo cambio requiere autorización y queda identificable.</x:v>
      </x:c>
      <x:c r="D12" s="52" t="str">
        <x:v>El cambio de rol registra quién lo autorizó y cuándo ocurrió.</x:v>
      </x:c>
      <x:c r="E12" s="52" t="str">
        <x:v>—</x:v>
      </x:c>
      <x:c r="F12" s="52" t="str">
        <x:v>E3</x:v>
      </x:c>
      <x:c r="G12" s="52" t="str">
        <x:v>Identidad y permisos</x:v>
      </x:c>
    </x:row>
    <x:row r="13" ht="64" customHeight="1">
      <x:c r="A13" s="30" t="str">
        <x:v>MP-007</x:v>
      </x:c>
      <x:c r="B13" s="30" t="str">
        <x:v>Crear torneo deportivo</x:v>
      </x:c>
      <x:c r="C13" s="30" t="str">
        <x:v>El torneo queda identificado y disponible para su administración.</x:v>
      </x:c>
      <x:c r="D13" s="30" t="str">
        <x:v>Los datos obligatorios se validan antes de guardar el torneo.</x:v>
      </x:c>
      <x:c r="E13" s="30" t="str">
        <x:v>—</x:v>
      </x:c>
      <x:c r="F13" s="30" t="str">
        <x:v>E1 - MVP</x:v>
      </x:c>
      <x:c r="G13" s="30" t="str">
        <x:v>Gestión de torneos</x:v>
      </x:c>
    </x:row>
    <x:row r="14" ht="64" customHeight="1">
      <x:c r="A14" s="52" t="str">
        <x:v>MP-008</x:v>
      </x:c>
      <x:c r="B14" s="52" t="str">
        <x:v>Registrar participantes</x:v>
      </x:c>
      <x:c r="C14" s="52" t="str">
        <x:v>Se valida la existencia de cada participante y la relación con el torneo.</x:v>
      </x:c>
      <x:c r="D14" s="52" t="str">
        <x:v>No se crean registros duplicados para el mismo usuario dentro de un torneo si la regla lo prohíbe.</x:v>
      </x:c>
      <x:c r="E14" s="52" t="str">
        <x:v>—</x:v>
      </x:c>
      <x:c r="F14" s="52" t="str">
        <x:v>E1 - MVP</x:v>
      </x:c>
      <x:c r="G14" s="52" t="str">
        <x:v>Gestión de torneos</x:v>
      </x:c>
    </x:row>
    <x:row r="15" ht="64" customHeight="1">
      <x:c r="A15" s="30" t="str">
        <x:v>MP-009</x:v>
      </x:c>
      <x:c r="B15" s="30" t="str">
        <x:v>Consultar torneos creados</x:v>
      </x:c>
      <x:c r="C15" s="30" t="str">
        <x:v>Puede distinguir torneos sin necesidad de consultar archivos separados.</x:v>
      </x:c>
      <x:c r="D15" s="30" t="str">
        <x:v>Solo aparecen torneos que puede administrar el usuario autorizado.</x:v>
      </x:c>
      <x:c r="E15" s="30" t="str">
        <x:v>—</x:v>
      </x:c>
      <x:c r="F15" s="30" t="str">
        <x:v>E1 - MVP</x:v>
      </x:c>
      <x:c r="G15" s="30" t="str">
        <x:v>Gestión de torneos</x:v>
      </x:c>
    </x:row>
    <x:row r="16" ht="64" customHeight="1">
      <x:c r="A16" s="52" t="str">
        <x:v>MP-010</x:v>
      </x:c>
      <x:c r="B16" s="52" t="str">
        <x:v>Modificar datos del torneo</x:v>
      </x:c>
      <x:c r="C16" s="52" t="str">
        <x:v>Los cambios respetan permisos y no alteran resultados cerrados sin control.</x:v>
      </x:c>
      <x:c r="D16" s="52" t="str">
        <x:v>Los cambios se guardan con el identificador del administrador responsable.</x:v>
      </x:c>
      <x:c r="E16" s="52" t="str">
        <x:v>—</x:v>
      </x:c>
      <x:c r="F16" s="52" t="str">
        <x:v>E2</x:v>
      </x:c>
      <x:c r="G16" s="52" t="str">
        <x:v>Gestión de torneos</x:v>
      </x:c>
    </x:row>
    <x:row r="17" ht="64" customHeight="1">
      <x:c r="A17" s="30" t="str">
        <x:v>MP-011</x:v>
      </x:c>
      <x:c r="B17" s="30" t="str">
        <x:v>Administrar estado del torneo</x:v>
      </x:c>
      <x:c r="C17" s="30" t="str">
        <x:v>El estado es coherente con sus eventos registrados.</x:v>
      </x:c>
      <x:c r="D17" s="30" t="str">
        <x:v>No puede marcarse como finalizado un torneo con eventos incompatibles con ese estado.</x:v>
      </x:c>
      <x:c r="E17" s="30" t="str">
        <x:v>—</x:v>
      </x:c>
      <x:c r="F17" s="30" t="str">
        <x:v>E2</x:v>
      </x:c>
      <x:c r="G17" s="30" t="str">
        <x:v>Gestión de torneos</x:v>
      </x:c>
    </x:row>
    <x:row r="18" ht="64" customHeight="1">
      <x:c r="A18" s="52" t="str">
        <x:v>MP-012</x:v>
      </x:c>
      <x:c r="B18" s="52" t="str">
        <x:v>Admitir torneos diferentes</x:v>
      </x:c>
      <x:c r="C18" s="52" t="str">
        <x:v>El diseño permite ampliar modalidades sin rehacer procesos esenciales.</x:v>
      </x:c>
      <x:c r="D18" s="52" t="str">
        <x:v>Una nueva modalidad puede configurarse sin modificar la información histórica.</x:v>
      </x:c>
      <x:c r="E18" s="52" t="str">
        <x:v>—</x:v>
      </x:c>
      <x:c r="F18" s="52" t="str">
        <x:v>E3</x:v>
      </x:c>
      <x:c r="G18" s="52" t="str">
        <x:v>Gestión de torneos</x:v>
      </x:c>
    </x:row>
    <x:row r="19" ht="64" customHeight="1">
      <x:c r="A19" s="30" t="str">
        <x:v>MP-013</x:v>
      </x:c>
      <x:c r="B19" s="30" t="str">
        <x:v>Agregar evento a un torneo</x:v>
      </x:c>
      <x:c r="C19" s="30" t="str">
        <x:v>Cada evento conserva su vínculo con el torneo correspondiente.</x:v>
      </x:c>
      <x:c r="D19" s="30" t="str">
        <x:v>No se puede asociar un evento a un torneo inexistente.</x:v>
      </x:c>
      <x:c r="E19" s="30" t="str">
        <x:v>—</x:v>
      </x:c>
      <x:c r="F19" s="30" t="str">
        <x:v>E1 - MVP</x:v>
      </x:c>
      <x:c r="G19" s="30" t="str">
        <x:v>Programación de eventos</x:v>
      </x:c>
    </x:row>
    <x:row r="20" ht="64" customHeight="1">
      <x:c r="A20" s="52" t="str">
        <x:v>MP-014</x:v>
      </x:c>
      <x:c r="B20" s="52" t="str">
        <x:v>Definir fecha y cierre</x:v>
      </x:c>
      <x:c r="C20" s="52" t="str">
        <x:v>Las fechas de apertura y cierre se registran y aplican.</x:v>
      </x:c>
      <x:c r="D20" s="52" t="str">
        <x:v>El sistema bloquea nuevos pronósticos al alcanzar la fecha/hora de cierre.</x:v>
      </x:c>
      <x:c r="E20" s="54" t="str">
        <x:v>El control utiliza la hora del sistema/servidor y no confía en la hora del navegador.</x:v>
      </x:c>
      <x:c r="F20" s="52" t="str">
        <x:v>E1 - MVP</x:v>
      </x:c>
      <x:c r="G20" s="52" t="str">
        <x:v>Programación de eventos</x:v>
      </x:c>
    </x:row>
    <x:row r="21" ht="64" customHeight="1">
      <x:c r="A21" s="30" t="str">
        <x:v>MP-015</x:v>
      </x:c>
      <x:c r="B21" s="30" t="str">
        <x:v>Configurar opciones de pronóstico</x:v>
      </x:c>
      <x:c r="C21" s="30" t="str">
        <x:v>Solo se aceptan opciones configuradas para el evento.</x:v>
      </x:c>
      <x:c r="D21" s="30" t="str">
        <x:v>Una opción ajena a las configuradas no puede registrarse como pronóstico.</x:v>
      </x:c>
      <x:c r="E21" s="30" t="str">
        <x:v>—</x:v>
      </x:c>
      <x:c r="F21" s="30" t="str">
        <x:v>E1 - MVP</x:v>
      </x:c>
      <x:c r="G21" s="30" t="str">
        <x:v>Programación de eventos</x:v>
      </x:c>
    </x:row>
    <x:row r="22" ht="64" customHeight="1">
      <x:c r="A22" s="52" t="str">
        <x:v>MP-016</x:v>
      </x:c>
      <x:c r="B22" s="52" t="str">
        <x:v>Reprogramar evento</x:v>
      </x:c>
      <x:c r="C22" s="52" t="str">
        <x:v>El cambio es coherente con participaciones y permisos existentes.</x:v>
      </x:c>
      <x:c r="D22" s="52" t="str">
        <x:v>Los cambios de horario quedan registrados y respetan las participaciones existentes.</x:v>
      </x:c>
      <x:c r="E22" s="52" t="str">
        <x:v>—</x:v>
      </x:c>
      <x:c r="F22" s="52" t="str">
        <x:v>E2</x:v>
      </x:c>
      <x:c r="G22" s="52" t="str">
        <x:v>Programación de eventos</x:v>
      </x:c>
    </x:row>
    <x:row r="23" ht="64" customHeight="1">
      <x:c r="A23" s="30" t="str">
        <x:v>MP-017</x:v>
      </x:c>
      <x:c r="B23" s="30" t="str">
        <x:v>Administrar estado del evento</x:v>
      </x:c>
      <x:c r="C23" s="30" t="str">
        <x:v>El estado refleja el periodo vigente y el resultado publicado.</x:v>
      </x:c>
      <x:c r="D23" s="30" t="str">
        <x:v>El estado se actualiza conforme a los hitos de apertura, cierre y publicación.</x:v>
      </x:c>
      <x:c r="E23" s="30" t="str">
        <x:v>—</x:v>
      </x:c>
      <x:c r="F23" s="30" t="str">
        <x:v>E2</x:v>
      </x:c>
      <x:c r="G23" s="30" t="str">
        <x:v>Programación de eventos</x:v>
      </x:c>
    </x:row>
    <x:row r="24" ht="64" customHeight="1">
      <x:c r="A24" s="52" t="str">
        <x:v>MP-018</x:v>
      </x:c>
      <x:c r="B24" s="52" t="str">
        <x:v>Configurar selección de ganador</x:v>
      </x:c>
      <x:c r="C24" s="52" t="str">
        <x:v>El modelo admite esta modalidad además del local/empate/visitante.</x:v>
      </x:c>
      <x:c r="D24" s="52" t="str">
        <x:v>La selección de ganador registra y valida las opciones participantes.</x:v>
      </x:c>
      <x:c r="E24" s="52" t="str">
        <x:v>—</x:v>
      </x:c>
      <x:c r="F24" s="52" t="str">
        <x:v>E3</x:v>
      </x:c>
      <x:c r="G24" s="52" t="str">
        <x:v>Programación de eventos</x:v>
      </x:c>
    </x:row>
    <x:row r="25" ht="64" customHeight="1">
      <x:c r="A25" s="30" t="str">
        <x:v>MP-019</x:v>
      </x:c>
      <x:c r="B25" s="30" t="str">
        <x:v>Ver torneos disponibles</x:v>
      </x:c>
      <x:c r="C25" s="30" t="str">
        <x:v>La lista muestra torneos accesibles al usuario.</x:v>
      </x:c>
      <x:c r="D25" s="30" t="str">
        <x:v>Cada torneo aparece con nombre, estado e identificación consistente.</x:v>
      </x:c>
      <x:c r="E25" s="30" t="str">
        <x:v>—</x:v>
      </x:c>
      <x:c r="F25" s="30" t="str">
        <x:v>E1 - MVP</x:v>
      </x:c>
      <x:c r="G25" s="30" t="str">
        <x:v>Explorar torneos</x:v>
      </x:c>
    </x:row>
    <x:row r="26" ht="64" customHeight="1">
      <x:c r="A26" s="52" t="str">
        <x:v>MP-020</x:v>
      </x:c>
      <x:c r="B26" s="52" t="str">
        <x:v>Consultar detalle de torneo</x:v>
      </x:c>
      <x:c r="C26" s="52" t="str">
        <x:v>Se muestran datos que permiten identificarlo y entenderlo.</x:v>
      </x:c>
      <x:c r="D26" s="52" t="str">
        <x:v>El detalle muestra la información necesaria para distinguir el torneo y su estado.</x:v>
      </x:c>
      <x:c r="E26" s="52" t="str">
        <x:v>—</x:v>
      </x:c>
      <x:c r="F26" s="52" t="str">
        <x:v>E1 - MVP</x:v>
      </x:c>
      <x:c r="G26" s="52" t="str">
        <x:v>Explorar torneos</x:v>
      </x:c>
    </x:row>
    <x:row r="27" ht="64" customHeight="1">
      <x:c r="A27" s="30" t="str">
        <x:v>MP-021</x:v>
      </x:c>
      <x:c r="B27" s="30" t="str">
        <x:v>Consultar eventos del torneo</x:v>
      </x:c>
      <x:c r="C27" s="30" t="str">
        <x:v>Cada evento corresponde al torneo seleccionado.</x:v>
      </x:c>
      <x:c r="D27" s="30" t="str">
        <x:v>La vista del torneo muestra solo los encuentros asociados a ese torneo.</x:v>
      </x:c>
      <x:c r="E27" s="30" t="str">
        <x:v>—</x:v>
      </x:c>
      <x:c r="F27" s="30" t="str">
        <x:v>E1 - MVP</x:v>
      </x:c>
      <x:c r="G27" s="30" t="str">
        <x:v>Explorar torneos</x:v>
      </x:c>
    </x:row>
    <x:row r="28" ht="64" customHeight="1">
      <x:c r="A28" s="52" t="str">
        <x:v>MP-022</x:v>
      </x:c>
      <x:c r="B28" s="52" t="str">
        <x:v>Revisar calendario</x:v>
      </x:c>
      <x:c r="C28" s="52" t="str">
        <x:v>Las fechas visibles coinciden con la programación registrada.</x:v>
      </x:c>
      <x:c r="D28" s="52" t="str">
        <x:v>El calendario coincide con las fechas vigentes registradas por administración.</x:v>
      </x:c>
      <x:c r="E28" s="52" t="str">
        <x:v>—</x:v>
      </x:c>
      <x:c r="F28" s="52" t="str">
        <x:v>E2</x:v>
      </x:c>
      <x:c r="G28" s="52" t="str">
        <x:v>Explorar torneos</x:v>
      </x:c>
    </x:row>
    <x:row r="29" ht="64" customHeight="1">
      <x:c r="A29" s="30" t="str">
        <x:v>MP-023</x:v>
      </x:c>
      <x:c r="B29" s="30" t="str">
        <x:v>Distinguir estado del torneo</x:v>
      </x:c>
      <x:c r="C29" s="30" t="str">
        <x:v>El estado mostrado es coherente con los datos actuales.</x:v>
      </x:c>
      <x:c r="D29" s="30" t="str">
        <x:v>Las etiquetas de estado no contradicen los datos de los eventos.</x:v>
      </x:c>
      <x:c r="E29" s="30" t="str">
        <x:v>—</x:v>
      </x:c>
      <x:c r="F29" s="30" t="str">
        <x:v>E2</x:v>
      </x:c>
      <x:c r="G29" s="30" t="str">
        <x:v>Explorar torneos</x:v>
      </x:c>
    </x:row>
    <x:row r="30" ht="64" customHeight="1">
      <x:c r="A30" s="52" t="str">
        <x:v>MP-024</x:v>
      </x:c>
      <x:c r="B30" s="52" t="str">
        <x:v>Consultar torneos anteriores</x:v>
      </x:c>
      <x:c r="C30" s="52" t="str">
        <x:v>La consulta no modifica ni reabre participaciones cerradas.</x:v>
      </x:c>
      <x:c r="D30" s="52" t="str">
        <x:v>Los torneos anteriores se consultan en modo de solo lectura.</x:v>
      </x:c>
      <x:c r="E30" s="52" t="str">
        <x:v>—</x:v>
      </x:c>
      <x:c r="F30" s="52" t="str">
        <x:v>E3</x:v>
      </x:c>
      <x:c r="G30" s="52" t="str">
        <x:v>Explorar torneos</x:v>
      </x:c>
    </x:row>
    <x:row r="31" ht="64" customHeight="1">
      <x:c r="A31" s="30" t="str">
        <x:v>MP-025</x:v>
      </x:c>
      <x:c r="B31" s="30" t="str">
        <x:v>Ver fecha límite para pronosticar</x:v>
      </x:c>
      <x:c r="C31" s="30" t="str">
        <x:v>El cierre mostrado coincide con la restricción real.</x:v>
      </x:c>
      <x:c r="D31" s="30" t="str">
        <x:v>La fecha de cierre es igual en el detalle y en la validación de registro.</x:v>
      </x:c>
      <x:c r="E31" s="30" t="str">
        <x:v>—</x:v>
      </x:c>
      <x:c r="F31" s="30" t="str">
        <x:v>E1 - MVP</x:v>
      </x:c>
      <x:c r="G31" s="30" t="str">
        <x:v>Consultar encuentros</x:v>
      </x:c>
    </x:row>
    <x:row r="32" ht="64" customHeight="1">
      <x:c r="A32" s="52" t="str">
        <x:v>MP-026</x:v>
      </x:c>
      <x:c r="B32" s="52" t="str">
        <x:v>Ver opciones válidas</x:v>
      </x:c>
      <x:c r="C32" s="52" t="str">
        <x:v>Solo se muestran las opciones configuradas.</x:v>
      </x:c>
      <x:c r="D32" s="52" t="str">
        <x:v>Las opciones mostradas coinciden con las autorizadas en la administración.</x:v>
      </x:c>
      <x:c r="E32" s="52" t="str">
        <x:v>—</x:v>
      </x:c>
      <x:c r="F32" s="52" t="str">
        <x:v>E1 - MVP</x:v>
      </x:c>
      <x:c r="G32" s="52" t="str">
        <x:v>Consultar encuentros</x:v>
      </x:c>
    </x:row>
    <x:row r="33" ht="64" customHeight="1">
      <x:c r="A33" s="30" t="str">
        <x:v>MP-027</x:v>
      </x:c>
      <x:c r="B33" s="30" t="str">
        <x:v>Ver estado del evento</x:v>
      </x:c>
      <x:c r="C33" s="30" t="str">
        <x:v>El estado mostrado corresponde al registro del evento.</x:v>
      </x:c>
      <x:c r="D33" s="30" t="str">
        <x:v>Se diferencia un evento abierto, cerrado y con resultado publicado.</x:v>
      </x:c>
      <x:c r="E33" s="30" t="str">
        <x:v>—</x:v>
      </x:c>
      <x:c r="F33" s="30" t="str">
        <x:v>E1 - MVP</x:v>
      </x:c>
      <x:c r="G33" s="30" t="str">
        <x:v>Consultar encuentros</x:v>
      </x:c>
    </x:row>
    <x:row r="34" ht="64" customHeight="1">
      <x:c r="A34" s="52" t="str">
        <x:v>MP-028</x:v>
      </x:c>
      <x:c r="B34" s="52" t="str">
        <x:v>Consultar reglas de participación</x:v>
      </x:c>
      <x:c r="C34" s="52" t="str">
        <x:v>Se informan las reglas configuradas antes de confirmar.</x:v>
      </x:c>
      <x:c r="D34" s="52" t="str">
        <x:v>El usuario ve las condiciones de participación antes de confirmar una acción.</x:v>
      </x:c>
      <x:c r="E34" s="52" t="str">
        <x:v>—</x:v>
      </x:c>
      <x:c r="F34" s="52" t="str">
        <x:v>E2</x:v>
      </x:c>
      <x:c r="G34" s="52" t="str">
        <x:v>Consultar encuentros</x:v>
      </x:c>
    </x:row>
    <x:row r="35" ht="64" customHeight="1">
      <x:c r="A35" s="30" t="str">
        <x:v>MP-029</x:v>
      </x:c>
      <x:c r="B35" s="30" t="str">
        <x:v>Consultar resultado publicado</x:v>
      </x:c>
      <x:c r="C35" s="30" t="str">
        <x:v>Los resultados no publicados no se presentan como definitivos.</x:v>
      </x:c>
      <x:c r="D35" s="30" t="str">
        <x:v>El resultado solo aparece como oficial después de su publicación autorizada.</x:v>
      </x:c>
      <x:c r="E35" s="30" t="str">
        <x:v>—</x:v>
      </x:c>
      <x:c r="F35" s="30" t="str">
        <x:v>E2</x:v>
      </x:c>
      <x:c r="G35" s="30" t="str">
        <x:v>Consultar encuentros</x:v>
      </x:c>
    </x:row>
    <x:row r="36" ht="64" customHeight="1">
      <x:c r="A36" s="52" t="str">
        <x:v>MP-030</x:v>
      </x:c>
      <x:c r="B36" s="52" t="str">
        <x:v>Distinguir modalidad del evento</x:v>
      </x:c>
      <x:c r="C36" s="52" t="str">
        <x:v>La interfaz refleja las opciones de la modalidad actual.</x:v>
      </x:c>
      <x:c r="D36" s="52" t="str">
        <x:v>El tipo de selección mostrado cambia correctamente según la modalidad.</x:v>
      </x:c>
      <x:c r="E36" s="52" t="str">
        <x:v>—</x:v>
      </x:c>
      <x:c r="F36" s="52" t="str">
        <x:v>E3</x:v>
      </x:c>
      <x:c r="G36" s="52" t="str">
        <x:v>Consultar encuentros</x:v>
      </x:c>
    </x:row>
    <x:row r="37" ht="64" customHeight="1">
      <x:c r="A37" s="30" t="str">
        <x:v>MP-031</x:v>
      </x:c>
      <x:c r="B37" s="30" t="str">
        <x:v>Registrar un pronóstico</x:v>
      </x:c>
      <x:c r="C37" s="30" t="str">
        <x:v>La participación queda vinculada al usuario y evento correctos.</x:v>
      </x:c>
      <x:c r="D37" s="30" t="str">
        <x:v>Una confirmación crea una participación identificable vinculada al usuario.</x:v>
      </x:c>
      <x:c r="E37" s="54" t="str">
        <x:v>La confirmación se vincula al cargo de créditos correspondiente.</x:v>
      </x:c>
      <x:c r="F37" s="30" t="str">
        <x:v>E1 - MVP</x:v>
      </x:c>
      <x:c r="G37" s="30" t="str">
        <x:v>Registrar pronósticos</x:v>
      </x:c>
    </x:row>
    <x:row r="38" ht="64" customHeight="1">
      <x:c r="A38" s="52" t="str">
        <x:v>MP-032</x:v>
      </x:c>
      <x:c r="B38" s="52" t="str">
        <x:v>Validar opción y periodo</x:v>
      </x:c>
      <x:c r="C38" s="52" t="str">
        <x:v>No se confirma una opción inexistente ni un evento cerrado.</x:v>
      </x:c>
      <x:c r="D38" s="52" t="str">
        <x:v>Se rechazan solicitudes fuera del periodo y con opciones no configuradas.</x:v>
      </x:c>
      <x:c r="E38" s="54" t="str">
        <x:v>La validación vuelve a ejecutarse al confirmar, aunque la interfaz muestre el evento abierto.</x:v>
      </x:c>
      <x:c r="F38" s="52" t="str">
        <x:v>E1 - MVP</x:v>
      </x:c>
      <x:c r="G38" s="52" t="str">
        <x:v>Registrar pronósticos</x:v>
      </x:c>
    </x:row>
    <x:row r="39" ht="64" customHeight="1">
      <x:c r="A39" s="30" t="str">
        <x:v>MP-033</x:v>
      </x:c>
      <x:c r="B39" s="30" t="str">
        <x:v>Proteger pronóstico cerrado</x:v>
      </x:c>
      <x:c r="C39" s="30" t="str">
        <x:v>Un pronóstico cerrado conserva su contenido original.</x:v>
      </x:c>
      <x:c r="D39" s="30" t="str">
        <x:v>Después del cierre, intentar modificar el pronóstico devuelve un rechazo sin cambios.</x:v>
      </x:c>
      <x:c r="E39" s="30" t="str">
        <x:v>—</x:v>
      </x:c>
      <x:c r="F39" s="30" t="str">
        <x:v>E1 - MVP</x:v>
      </x:c>
      <x:c r="G39" s="30" t="str">
        <x:v>Registrar pronósticos</x:v>
      </x:c>
    </x:row>
    <x:row r="40" ht="64" customHeight="1">
      <x:c r="A40" s="52" t="str">
        <x:v>MP-034</x:v>
      </x:c>
      <x:c r="B40" s="52" t="str">
        <x:v>Confirmar participación registrada</x:v>
      </x:c>
      <x:c r="C40" s="52" t="str">
        <x:v>La confirmación identifica la participación realizada.</x:v>
      </x:c>
      <x:c r="D40" s="52" t="str">
        <x:v>La confirmación incluye un identificador consultable del pronóstico.</x:v>
      </x:c>
      <x:c r="E40" s="52" t="str">
        <x:v>—</x:v>
      </x:c>
      <x:c r="F40" s="52" t="str">
        <x:v>E2</x:v>
      </x:c>
      <x:c r="G40" s="52" t="str">
        <x:v>Registrar pronósticos</x:v>
      </x:c>
    </x:row>
    <x:row r="41" ht="64" customHeight="1">
      <x:c r="A41" s="30" t="str">
        <x:v>MP-035</x:v>
      </x:c>
      <x:c r="B41" s="30" t="str">
        <x:v>Explicar un rechazo</x:v>
      </x:c>
      <x:c r="C41" s="30" t="str">
        <x:v>Un rechazo no provoca descuentos de créditos.</x:v>
      </x:c>
      <x:c r="D41" s="30" t="str">
        <x:v>Un intento rechazado conserva el saldo y no genera movimientos confirmados.</x:v>
      </x:c>
      <x:c r="E41" s="30" t="str">
        <x:v>—</x:v>
      </x:c>
      <x:c r="F41" s="30" t="str">
        <x:v>E2</x:v>
      </x:c>
      <x:c r="G41" s="30" t="str">
        <x:v>Registrar pronósticos</x:v>
      </x:c>
    </x:row>
    <x:row r="42" ht="64" customHeight="1">
      <x:c r="A42" s="52" t="str">
        <x:v>MP-036</x:v>
      </x:c>
      <x:c r="B42" s="52" t="str">
        <x:v>Consultar pronósticos por evento</x:v>
      </x:c>
      <x:c r="C42" s="52" t="str">
        <x:v>La consulta respeta su identidad y el estado del evento.</x:v>
      </x:c>
      <x:c r="D42" s="52" t="str">
        <x:v>La consulta agrupa participaciones por evento sin mostrar registros ajenos.</x:v>
      </x:c>
      <x:c r="E42" s="52" t="str">
        <x:v>—</x:v>
      </x:c>
      <x:c r="F42" s="52" t="str">
        <x:v>E3</x:v>
      </x:c>
      <x:c r="G42" s="52" t="str">
        <x:v>Registrar pronósticos</x:v>
      </x:c>
    </x:row>
    <x:row r="43" ht="64" customHeight="1">
      <x:c r="A43" s="30" t="str">
        <x:v>MP-037</x:v>
      </x:c>
      <x:c r="B43" s="30" t="str">
        <x:v>Asignar créditos iniciales</x:v>
      </x:c>
      <x:c r="C43" s="30" t="str">
        <x:v>La asignación genera movimiento identificable.</x:v>
      </x:c>
      <x:c r="D43" s="30" t="str">
        <x:v>El crédito inicial se asigna conforme a una regla autorizada y queda en el historial.</x:v>
      </x:c>
      <x:c r="E43" s="54" t="str">
        <x:v>Los créditos asignados no se pueden retirar ni convertir en dinero real.</x:v>
      </x:c>
      <x:c r="F43" s="30" t="str">
        <x:v>E1 - MVP</x:v>
      </x:c>
      <x:c r="G43" s="30" t="str">
        <x:v>Controlar créditos</x:v>
      </x:c>
    </x:row>
    <x:row r="44" ht="64" customHeight="1">
      <x:c r="A44" s="52" t="str">
        <x:v>MP-038</x:v>
      </x:c>
      <x:c r="B44" s="52" t="str">
        <x:v>Comprobar saldo suficiente</x:v>
      </x:c>
      <x:c r="C44" s="52" t="str">
        <x:v>La operación se rechaza si no hay saldo suficiente.</x:v>
      </x:c>
      <x:c r="D44" s="52" t="str">
        <x:v>Si el saldo disponible es menor al costo, no se confirma el pronóstico ni el descuento.</x:v>
      </x:c>
      <x:c r="E44" s="54" t="str">
        <x:v>La validación ocurre antes de confirmar el cargo de créditos.</x:v>
      </x:c>
      <x:c r="F44" s="52" t="str">
        <x:v>E1 - MVP</x:v>
      </x:c>
      <x:c r="G44" s="52" t="str">
        <x:v>Controlar créditos</x:v>
      </x:c>
    </x:row>
    <x:row r="45" ht="64" customHeight="1">
      <x:c r="A45" s="30" t="str">
        <x:v>MP-039</x:v>
      </x:c>
      <x:c r="B45" s="30" t="str">
        <x:v>Descontar sin saldo negativo</x:v>
      </x:c>
      <x:c r="C45" s="30" t="str">
        <x:v>El saldo final no queda negativo y el descuento es verificable.</x:v>
      </x:c>
      <x:c r="D45" s="30" t="str">
        <x:v>El cargo se registra exactamente una vez y el saldo permanece mayor o igual a cero.</x:v>
      </x:c>
      <x:c r="E45" s="54" t="str">
        <x:v>La confirmación de participación y el cargo son una operación atómica.</x:v>
      </x:c>
      <x:c r="F45" s="30" t="str">
        <x:v>E1 - MVP</x:v>
      </x:c>
      <x:c r="G45" s="30" t="str">
        <x:v>Controlar créditos</x:v>
      </x:c>
    </x:row>
    <x:row r="46" ht="64" customHeight="1">
      <x:c r="A46" s="52" t="str">
        <x:v>MP-040</x:v>
      </x:c>
      <x:c r="B46" s="52" t="str">
        <x:v>Mostrar saldo actualizado</x:v>
      </x:c>
      <x:c r="C46" s="52" t="str">
        <x:v>El saldo coincide con el total verificable de movimientos.</x:v>
      </x:c>
      <x:c r="D46" s="52" t="str">
        <x:v>La suma de movimientos confirmados corresponde con el saldo mostrado.</x:v>
      </x:c>
      <x:c r="E46" s="52" t="str">
        <x:v>—</x:v>
      </x:c>
      <x:c r="F46" s="52" t="str">
        <x:v>E2</x:v>
      </x:c>
      <x:c r="G46" s="52" t="str">
        <x:v>Controlar créditos</x:v>
      </x:c>
    </x:row>
    <x:row r="47" ht="64" customHeight="1">
      <x:c r="A47" s="30" t="str">
        <x:v>MP-041</x:v>
      </x:c>
      <x:c r="B47" s="30" t="str">
        <x:v>Registrar premios de créditos</x:v>
      </x:c>
      <x:c r="C47" s="30" t="str">
        <x:v>Cada premio corresponde a una liquidación confirmada.</x:v>
      </x:c>
      <x:c r="D47" s="30" t="str">
        <x:v>Un premio acreditado se vincula a un pronóstico acertado y a una liquidación válida.</x:v>
      </x:c>
      <x:c r="E47" s="30" t="str">
        <x:v>—</x:v>
      </x:c>
      <x:c r="F47" s="30" t="str">
        <x:v>E2</x:v>
      </x:c>
      <x:c r="G47" s="30" t="str">
        <x:v>Controlar créditos</x:v>
      </x:c>
    </x:row>
    <x:row r="48" ht="64" customHeight="1">
      <x:c r="A48" s="52" t="str">
        <x:v>MP-042</x:v>
      </x:c>
      <x:c r="B48" s="52" t="str">
        <x:v>Gestionar ajustes autorizados</x:v>
      </x:c>
      <x:c r="C48" s="52" t="str">
        <x:v>Los movimientos de corrección quedan asociados a su motivo y origen.</x:v>
      </x:c>
      <x:c r="D48" s="52" t="str">
        <x:v>Solo usuarios autorizados registran ajustes, con motivo y vínculo al movimiento original.</x:v>
      </x:c>
      <x:c r="E48" s="52" t="str">
        <x:v>—</x:v>
      </x:c>
      <x:c r="F48" s="52" t="str">
        <x:v>E3</x:v>
      </x:c>
      <x:c r="G48" s="52" t="str">
        <x:v>Controlar créditos</x:v>
      </x:c>
    </x:row>
    <x:row r="49" ht="64" customHeight="1">
      <x:c r="A49" s="30" t="str">
        <x:v>MP-043</x:v>
      </x:c>
      <x:c r="B49" s="30" t="str">
        <x:v>Registrar cada movimiento</x:v>
      </x:c>
      <x:c r="C49" s="30" t="str">
        <x:v>Cada movimiento confirmado es rastreable.</x:v>
      </x:c>
      <x:c r="D49" s="30" t="str">
        <x:v>El movimiento guarda identificador, usuario, tipo, cantidad, fecha y operación de origen.</x:v>
      </x:c>
      <x:c r="E49" s="54" t="str">
        <x:v>Un fallo no se registra como movimiento confirmado.</x:v>
      </x:c>
      <x:c r="F49" s="30" t="str">
        <x:v>E1 - MVP</x:v>
      </x:c>
      <x:c r="G49" s="30" t="str">
        <x:v>Operaciones confiables</x:v>
      </x:c>
    </x:row>
    <x:row r="50" ht="64" customHeight="1">
      <x:c r="A50" s="52" t="str">
        <x:v>MP-044</x:v>
      </x:c>
      <x:c r="B50" s="52" t="str">
        <x:v>Evitar solicitudes repetidas</x:v>
      </x:c>
      <x:c r="C50" s="52" t="str">
        <x:v>Reintentar una operación confirmada no duplica su efecto.</x:v>
      </x:c>
      <x:c r="D50" s="52" t="str">
        <x:v>Enviar dos veces la misma clave de operación conserva un solo cargo confirmado.</x:v>
      </x:c>
      <x:c r="E50" s="54" t="str">
        <x:v>La misma clave de operación con contenido distinto se rechaza de forma controlada.</x:v>
      </x:c>
      <x:c r="F50" s="52" t="str">
        <x:v>E1 - MVP</x:v>
      </x:c>
      <x:c r="G50" s="52" t="str">
        <x:v>Operaciones confiables</x:v>
      </x:c>
    </x:row>
    <x:row r="51" ht="64" customHeight="1">
      <x:c r="A51" s="30" t="str">
        <x:v>MP-045</x:v>
      </x:c>
      <x:c r="B51" s="30" t="str">
        <x:v>Proteger operaciones simultáneas</x:v>
      </x:c>
      <x:c r="C51" s="30" t="str">
        <x:v>El sistema mantiene saldo consistente bajo concurrencia.</x:v>
      </x:c>
      <x:c r="D51" s="30" t="str">
        <x:v>Dos solicitudes concurrentes no pueden consumir simultáneamente el mismo saldo disponible.</x:v>
      </x:c>
      <x:c r="E51" s="54" t="str">
        <x:v>Si el saldo no alcanza para ambas operaciones, solamente se confirma la cantidad permitida.</x:v>
      </x:c>
      <x:c r="F51" s="30" t="str">
        <x:v>E1 - MVP</x:v>
      </x:c>
      <x:c r="G51" s="30" t="str">
        <x:v>Operaciones confiables</x:v>
      </x:c>
    </x:row>
    <x:row r="52" ht="64" customHeight="1">
      <x:c r="A52" s="52" t="str">
        <x:v>MP-046</x:v>
      </x:c>
      <x:c r="B52" s="52" t="str">
        <x:v>Manejar fallos de operación</x:v>
      </x:c>
      <x:c r="C52" s="52" t="str">
        <x:v>La operación falla por completo o se confirma correctamente.</x:v>
      </x:c>
      <x:c r="D52" s="52" t="str">
        <x:v>Una falla a mitad del proceso no deja pronóstico confirmado con cargo parcial o viceversa.</x:v>
      </x:c>
      <x:c r="E52" s="54" t="str">
        <x:v>Al reintentar un fallo no se crea un movimiento adicional si la operación ya había sido confirmada.</x:v>
      </x:c>
      <x:c r="F52" s="52" t="str">
        <x:v>E2</x:v>
      </x:c>
      <x:c r="G52" s="52" t="str">
        <x:v>Operaciones confiables</x:v>
      </x:c>
    </x:row>
    <x:row r="53" ht="64" customHeight="1">
      <x:c r="A53" s="30" t="str">
        <x:v>MP-047</x:v>
      </x:c>
      <x:c r="B53" s="30" t="str">
        <x:v>Vincular movimiento y origen</x:v>
      </x:c>
      <x:c r="C53" s="30" t="str">
        <x:v>La referencia permite reconstruir por qué ocurrió el movimiento.</x:v>
      </x:c>
      <x:c r="D53" s="30" t="str">
        <x:v>Cada movimiento permite localizar el pronóstico o la liquidación que lo originó.</x:v>
      </x:c>
      <x:c r="E53" s="30" t="str">
        <x:v>—</x:v>
      </x:c>
      <x:c r="F53" s="30" t="str">
        <x:v>E2</x:v>
      </x:c>
      <x:c r="G53" s="30" t="str">
        <x:v>Operaciones confiables</x:v>
      </x:c>
    </x:row>
    <x:row r="54" ht="64" customHeight="1">
      <x:c r="A54" s="52" t="str">
        <x:v>MP-048</x:v>
      </x:c>
      <x:c r="B54" s="52" t="str">
        <x:v>Conservar historial al corregir</x:v>
      </x:c>
      <x:c r="C54" s="52" t="str">
        <x:v>Puede seguirse el historial antes y después de la corrección.</x:v>
      </x:c>
      <x:c r="D54" s="52" t="str">
        <x:v>La reversión crea movimiento compensatorio y no borra movimientos confirmados anteriores.</x:v>
      </x:c>
      <x:c r="E54" s="54" t="str">
        <x:v>El historial de operaciones permanece disponible para revisión.</x:v>
      </x:c>
      <x:c r="F54" s="52" t="str">
        <x:v>E3</x:v>
      </x:c>
      <x:c r="G54" s="52" t="str">
        <x:v>Operaciones confiables</x:v>
      </x:c>
    </x:row>
    <x:row r="55" ht="64" customHeight="1">
      <x:c r="A55" s="30" t="str">
        <x:v>MP-049</x:v>
      </x:c>
      <x:c r="B55" s="30" t="str">
        <x:v>Consultar mi saldo</x:v>
      </x:c>
      <x:c r="C55" s="30" t="str">
        <x:v>El valor es consistente con los movimientos registrados.</x:v>
      </x:c>
      <x:c r="D55" s="30" t="str">
        <x:v>El saldo presentado se obtiene de los movimientos confirmados o se verifica contra ellos.</x:v>
      </x:c>
      <x:c r="E55" s="30" t="str">
        <x:v>—</x:v>
      </x:c>
      <x:c r="F55" s="30" t="str">
        <x:v>E1 - MVP</x:v>
      </x:c>
      <x:c r="G55" s="30" t="str">
        <x:v>Mi actividad e historial</x:v>
      </x:c>
    </x:row>
    <x:row r="56" ht="64" customHeight="1">
      <x:c r="A56" s="52" t="str">
        <x:v>MP-050</x:v>
      </x:c>
      <x:c r="B56" s="52" t="str">
        <x:v>Consultar mis pronósticos</x:v>
      </x:c>
      <x:c r="C56" s="52" t="str">
        <x:v>Se presentan únicamente sus participaciones.</x:v>
      </x:c>
      <x:c r="D56" s="52" t="str">
        <x:v>La API solo devuelve pronósticos pertenecientes a la cuenta autenticada.</x:v>
      </x:c>
      <x:c r="E56" s="52" t="str">
        <x:v>—</x:v>
      </x:c>
      <x:c r="F56" s="52" t="str">
        <x:v>E1 - MVP</x:v>
      </x:c>
      <x:c r="G56" s="52" t="str">
        <x:v>Mi actividad e historial</x:v>
      </x:c>
    </x:row>
    <x:row r="57" ht="64" customHeight="1">
      <x:c r="A57" s="30" t="str">
        <x:v>MP-051</x:v>
      </x:c>
      <x:c r="B57" s="30" t="str">
        <x:v>Consultar movimientos propios</x:v>
      </x:c>
      <x:c r="C57" s="30" t="str">
        <x:v>Cada fila identifica tipo, fecha y cantidad.</x:v>
      </x:c>
      <x:c r="D57" s="30" t="str">
        <x:v>Los movimientos propios incluyen fecha, clase y cantidad de créditos.</x:v>
      </x:c>
      <x:c r="E57" s="30" t="str">
        <x:v>—</x:v>
      </x:c>
      <x:c r="F57" s="30" t="str">
        <x:v>E1 - MVP</x:v>
      </x:c>
      <x:c r="G57" s="30" t="str">
        <x:v>Mi actividad e historial</x:v>
      </x:c>
    </x:row>
    <x:row r="58" ht="64" customHeight="1">
      <x:c r="A58" s="52" t="str">
        <x:v>MP-052</x:v>
      </x:c>
      <x:c r="B58" s="52" t="str">
        <x:v>Consultar estado del pronóstico</x:v>
      </x:c>
      <x:c r="C58" s="52" t="str">
        <x:v>El estado coincide con el resultado y la liquidación registrada.</x:v>
      </x:c>
      <x:c r="D58" s="52" t="str">
        <x:v>El estado refleja si el pronóstico está pendiente, acertado o no acertado, según corresponda.</x:v>
      </x:c>
      <x:c r="E58" s="52" t="str">
        <x:v>—</x:v>
      </x:c>
      <x:c r="F58" s="52" t="str">
        <x:v>E2</x:v>
      </x:c>
      <x:c r="G58" s="52" t="str">
        <x:v>Mi actividad e historial</x:v>
      </x:c>
    </x:row>
    <x:row r="59" ht="64" customHeight="1">
      <x:c r="A59" s="30" t="str">
        <x:v>MP-053</x:v>
      </x:c>
      <x:c r="B59" s="30" t="str">
        <x:v>Ver detalle de transacción</x:v>
      </x:c>
      <x:c r="C59" s="30" t="str">
        <x:v>La consulta ofrece información suficiente para verificarlo.</x:v>
      </x:c>
      <x:c r="D59" s="30" t="str">
        <x:v>El detalle de un movimiento muestra su referencia de origen si existe.</x:v>
      </x:c>
      <x:c r="E59" s="30" t="str">
        <x:v>—</x:v>
      </x:c>
      <x:c r="F59" s="30" t="str">
        <x:v>E2</x:v>
      </x:c>
      <x:c r="G59" s="30" t="str">
        <x:v>Mi actividad e historial</x:v>
      </x:c>
    </x:row>
    <x:row r="60" ht="64" customHeight="1">
      <x:c r="A60" s="52" t="str">
        <x:v>MP-054</x:v>
      </x:c>
      <x:c r="B60" s="52" t="str">
        <x:v>Filtrar historial personal</x:v>
      </x:c>
      <x:c r="C60" s="52" t="str">
        <x:v>Los filtros no muestran datos de otros usuarios.</x:v>
      </x:c>
      <x:c r="D60" s="52" t="str">
        <x:v>Los filtros no permiten consultar el historial de otra persona.</x:v>
      </x:c>
      <x:c r="E60" s="52" t="str">
        <x:v>—</x:v>
      </x:c>
      <x:c r="F60" s="52" t="str">
        <x:v>E3</x:v>
      </x:c>
      <x:c r="G60" s="52" t="str">
        <x:v>Mi actividad e historial</x:v>
      </x:c>
    </x:row>
    <x:row r="61" ht="64" customHeight="1">
      <x:c r="A61" s="30" t="str">
        <x:v>MP-055</x:v>
      </x:c>
      <x:c r="B61" s="30" t="str">
        <x:v>Cerrar recepción de pronósticos</x:v>
      </x:c>
      <x:c r="C61" s="30" t="str">
        <x:v>Ninguna participación posterior al cierre se confirma.</x:v>
      </x:c>
      <x:c r="D61" s="30" t="str">
        <x:v>Una solicitud recibida después del cierre se rechaza sin descontar saldo.</x:v>
      </x:c>
      <x:c r="E61" s="54" t="str">
        <x:v>El resultado del cierre es consistente incluso con peticiones simultáneas.</x:v>
      </x:c>
      <x:c r="F61" s="30" t="str">
        <x:v>E1 - MVP</x:v>
      </x:c>
      <x:c r="G61" s="30" t="str">
        <x:v>Publicar resultados</x:v>
      </x:c>
    </x:row>
    <x:row r="62" ht="64" customHeight="1">
      <x:c r="A62" s="52" t="str">
        <x:v>MP-056</x:v>
      </x:c>
      <x:c r="B62" s="52" t="str">
        <x:v>Publicar resultado oficial</x:v>
      </x:c>
      <x:c r="C62" s="52" t="str">
        <x:v>El resultado queda asociado al evento correcto.</x:v>
      </x:c>
      <x:c r="D62" s="52" t="str">
        <x:v>El resultado solo se publica una vez validada su correspondencia con evento y modalidad.</x:v>
      </x:c>
      <x:c r="E62" s="52" t="str">
        <x:v>—</x:v>
      </x:c>
      <x:c r="F62" s="52" t="str">
        <x:v>E1 - MVP</x:v>
      </x:c>
      <x:c r="G62" s="52" t="str">
        <x:v>Publicar resultados</x:v>
      </x:c>
    </x:row>
    <x:row r="63" ht="64" customHeight="1">
      <x:c r="A63" s="30" t="str">
        <x:v>MP-057</x:v>
      </x:c>
      <x:c r="B63" s="30" t="str">
        <x:v>Validar permisos de publicación</x:v>
      </x:c>
      <x:c r="C63" s="30" t="str">
        <x:v>Solo roles autorizados pueden confirmar resultados.</x:v>
      </x:c>
      <x:c r="D63" s="30" t="str">
        <x:v>La publicación desde una cuenta no autorizada se rechaza sin cambios.</x:v>
      </x:c>
      <x:c r="E63" s="30" t="str">
        <x:v>—</x:v>
      </x:c>
      <x:c r="F63" s="30" t="str">
        <x:v>E1 - MVP</x:v>
      </x:c>
      <x:c r="G63" s="30" t="str">
        <x:v>Publicar resultados</x:v>
      </x:c>
    </x:row>
    <x:row r="64" ht="64" customHeight="1">
      <x:c r="A64" s="52" t="str">
        <x:v>MP-058</x:v>
      </x:c>
      <x:c r="B64" s="52" t="str">
        <x:v>Corregir resultado con control</x:v>
      </x:c>
      <x:c r="C64" s="52" t="str">
        <x:v>Se conserva la versión previa y se identifica la corrección.</x:v>
      </x:c>
      <x:c r="D64" s="52" t="str">
        <x:v>Corregir un resultado conserva el anterior y registra autor, fecha y motivo.</x:v>
      </x:c>
      <x:c r="E64" s="54" t="str">
        <x:v>No se acredita un nuevo premio incorrectamente durante una corrección.</x:v>
      </x:c>
      <x:c r="F64" s="52" t="str">
        <x:v>E2</x:v>
      </x:c>
      <x:c r="G64" s="52" t="str">
        <x:v>Publicar resultados</x:v>
      </x:c>
    </x:row>
    <x:row r="65" ht="64" customHeight="1">
      <x:c r="A65" s="30" t="str">
        <x:v>MP-059</x:v>
      </x:c>
      <x:c r="B65" s="30" t="str">
        <x:v>Registrar historial de cambios</x:v>
      </x:c>
      <x:c r="C65" s="30" t="str">
        <x:v>El historial conserva la información anterior.</x:v>
      </x:c>
      <x:c r="D65" s="30" t="str">
        <x:v>La revisión del historial muestra cada versión del resultado y su vigencia.</x:v>
      </x:c>
      <x:c r="E65" s="30" t="str">
        <x:v>—</x:v>
      </x:c>
      <x:c r="F65" s="30" t="str">
        <x:v>E2</x:v>
      </x:c>
      <x:c r="G65" s="30" t="str">
        <x:v>Publicar resultados</x:v>
      </x:c>
    </x:row>
    <x:row r="66" ht="64" customHeight="1">
      <x:c r="A66" s="52" t="str">
        <x:v>MP-060</x:v>
      </x:c>
      <x:c r="B66" s="52" t="str">
        <x:v>Revisar resultado vigente</x:v>
      </x:c>
      <x:c r="C66" s="52" t="str">
        <x:v>Existe una versión vigente clara y verificable.</x:v>
      </x:c>
      <x:c r="D66" s="52" t="str">
        <x:v>Existe una sola versión vigente para determinar aciertos y liquidaciones.</x:v>
      </x:c>
      <x:c r="E66" s="52" t="str">
        <x:v>—</x:v>
      </x:c>
      <x:c r="F66" s="52" t="str">
        <x:v>E3</x:v>
      </x:c>
      <x:c r="G66" s="52" t="str">
        <x:v>Publicar resultados</x:v>
      </x:c>
    </x:row>
    <x:row r="67" ht="64" customHeight="1">
      <x:c r="A67" s="30" t="str">
        <x:v>MP-061</x:v>
      </x:c>
      <x:c r="B67" s="30" t="str">
        <x:v>Determinar pronósticos acertados</x:v>
      </x:c>
      <x:c r="C67" s="30" t="str">
        <x:v>Se aplican las reglas de la modalidad del evento.</x:v>
      </x:c>
      <x:c r="D67" s="30" t="str">
        <x:v>Cada pronóstico se evalúa frente al resultado y a la regla de la modalidad.</x:v>
      </x:c>
      <x:c r="E67" s="54" t="str">
        <x:v>Una participación inválida o fuera de periodo no participa en la liquidación.</x:v>
      </x:c>
      <x:c r="F67" s="30" t="str">
        <x:v>E1 - MVP</x:v>
      </x:c>
      <x:c r="G67" s="30" t="str">
        <x:v>Liquidar participaciones</x:v>
      </x:c>
    </x:row>
    <x:row r="68" ht="64" customHeight="1">
      <x:c r="A68" s="52" t="str">
        <x:v>MP-062</x:v>
      </x:c>
      <x:c r="B68" s="52" t="str">
        <x:v>Liquidar y acreditar premios</x:v>
      </x:c>
      <x:c r="C68" s="52" t="str">
        <x:v>Cada abono corresponde a un pronóstico ganador válido.</x:v>
      </x:c>
      <x:c r="D68" s="52" t="str">
        <x:v>Los abonos se generan solo para aciertos elegibles y quedan registrados en movimientos.</x:v>
      </x:c>
      <x:c r="E68" s="54" t="str">
        <x:v>El proceso de liquidación y el abono se confirman juntos.</x:v>
      </x:c>
      <x:c r="F68" s="52" t="str">
        <x:v>E1 - MVP</x:v>
      </x:c>
      <x:c r="G68" s="52" t="str">
        <x:v>Liquidar participaciones</x:v>
      </x:c>
    </x:row>
    <x:row r="69" ht="64" customHeight="1">
      <x:c r="A69" s="30" t="str">
        <x:v>MP-063</x:v>
      </x:c>
      <x:c r="B69" s="30" t="str">
        <x:v>Evitar premios duplicados</x:v>
      </x:c>
      <x:c r="C69" s="30" t="str">
        <x:v>El resultado financiero no cambia ante reintentos de la misma operación.</x:v>
      </x:c>
      <x:c r="D69" s="30" t="str">
        <x:v>Reejecutar una liquidación confirmada no vuelve a otorgar el mismo premio.</x:v>
      </x:c>
      <x:c r="E69" s="54" t="str">
        <x:v>El intento repetido devuelve el resultado existente sin duplicar abonos.</x:v>
      </x:c>
      <x:c r="F69" s="30" t="str">
        <x:v>E1 - MVP</x:v>
      </x:c>
      <x:c r="G69" s="30" t="str">
        <x:v>Liquidar participaciones</x:v>
      </x:c>
    </x:row>
    <x:row r="70" ht="64" customHeight="1">
      <x:c r="A70" s="52" t="str">
        <x:v>MP-064</x:v>
      </x:c>
      <x:c r="B70" s="52" t="str">
        <x:v>Consultar detalle de liquidación</x:v>
      </x:c>
      <x:c r="C70" s="52" t="str">
        <x:v>Se puede verificar cada liquidación realizada.</x:v>
      </x:c>
      <x:c r="D70" s="52" t="str">
        <x:v>El detalle incluye evento, regla aplicada, aciertos y movimientos de premio.</x:v>
      </x:c>
      <x:c r="E70" s="52" t="str">
        <x:v>—</x:v>
      </x:c>
      <x:c r="F70" s="52" t="str">
        <x:v>E2</x:v>
      </x:c>
      <x:c r="G70" s="52" t="str">
        <x:v>Liquidar participaciones</x:v>
      </x:c>
    </x:row>
    <x:row r="71" ht="64" customHeight="1">
      <x:c r="A71" s="30" t="str">
        <x:v>MP-065</x:v>
      </x:c>
      <x:c r="B71" s="30" t="str">
        <x:v>Reprocesar correcciones válidas</x:v>
      </x:c>
      <x:c r="C71" s="30" t="str">
        <x:v>Se corrigen créditos mediante movimientos trazables y controlados.</x:v>
      </x:c>
      <x:c r="D71" s="30" t="str">
        <x:v>La reliquidación registra diferencias y compensaciones sin eliminar evidencia anterior.</x:v>
      </x:c>
      <x:c r="E71" s="54" t="str">
        <x:v>La nueva liquidación considera abonos previos y registra reversiones cuando apliquen.</x:v>
      </x:c>
      <x:c r="F71" s="30" t="str">
        <x:v>E2</x:v>
      </x:c>
      <x:c r="G71" s="30" t="str">
        <x:v>Liquidar participaciones</x:v>
      </x:c>
    </x:row>
    <x:row r="72" ht="64" customHeight="1">
      <x:c r="A72" s="52" t="str">
        <x:v>MP-066</x:v>
      </x:c>
      <x:c r="B72" s="52" t="str">
        <x:v>Consultar liquidaciones por torneo</x:v>
      </x:c>
      <x:c r="C72" s="52" t="str">
        <x:v>Cada resumen vincula torneos, eventos y movimientos.</x:v>
      </x:c>
      <x:c r="D72" s="52" t="str">
        <x:v>El consolidado por torneo coincide con las liquidaciones de sus eventos.</x:v>
      </x:c>
      <x:c r="E72" s="52" t="str">
        <x:v>—</x:v>
      </x:c>
      <x:c r="F72" s="52" t="str">
        <x:v>E3</x:v>
      </x:c>
      <x:c r="G72" s="52" t="str">
        <x:v>Liquidar participaciones</x:v>
      </x:c>
    </x:row>
    <x:row r="73" ht="64" customHeight="1">
      <x:c r="A73" s="30" t="str">
        <x:v>MP-067</x:v>
      </x:c>
      <x:c r="B73" s="30" t="str">
        <x:v>Consultar transacciones</x:v>
      </x:c>
      <x:c r="C73" s="30" t="str">
        <x:v>Cada operación tiene origen, tipo, cantidad y fecha.</x:v>
      </x:c>
      <x:c r="D73" s="30" t="str">
        <x:v>Se puede localizar una operación por identificador, usuario y fecha.</x:v>
      </x:c>
      <x:c r="E73" s="54" t="str">
        <x:v>La consulta está restringida a personal autorizado.</x:v>
      </x:c>
      <x:c r="F73" s="30" t="str">
        <x:v>E1 - MVP</x:v>
      </x:c>
      <x:c r="G73" s="30" t="str">
        <x:v>Auditoría y seguimiento</x:v>
      </x:c>
    </x:row>
    <x:row r="74" ht="64" customHeight="1">
      <x:c r="A74" s="52" t="str">
        <x:v>MP-068</x:v>
      </x:c>
      <x:c r="B74" s="52" t="str">
        <x:v>Conciliar saldos y movimientos</x:v>
      </x:c>
      <x:c r="C74" s="52" t="str">
        <x:v>Las sumas son reproducibles a partir de movimientos confirmados.</x:v>
      </x:c>
      <x:c r="D74" s="52" t="str">
        <x:v>La conciliación detecta diferencias entre saldos y suma de movimientos confirmados.</x:v>
      </x:c>
      <x:c r="E74" s="54" t="str">
        <x:v>La conciliación no modifica el historial de movimientos.</x:v>
      </x:c>
      <x:c r="F74" s="52" t="str">
        <x:v>E1 - MVP</x:v>
      </x:c>
      <x:c r="G74" s="52" t="str">
        <x:v>Auditoría y seguimiento</x:v>
      </x:c>
    </x:row>
    <x:row r="75" ht="64" customHeight="1">
      <x:c r="A75" s="30" t="str">
        <x:v>MP-069</x:v>
      </x:c>
      <x:c r="B75" s="30" t="str">
        <x:v>Revisar liquidaciones realizadas</x:v>
      </x:c>
      <x:c r="C75" s="30" t="str">
        <x:v>La liquidación puede asociarse a sus movimientos correspondientes.</x:v>
      </x:c>
      <x:c r="D75" s="30" t="str">
        <x:v>Cada liquidación muestra el vínculo a sus pronósticos y abonos correspondientes.</x:v>
      </x:c>
      <x:c r="E75" s="30" t="str">
        <x:v>—</x:v>
      </x:c>
      <x:c r="F75" s="30" t="str">
        <x:v>E1 - MVP</x:v>
      </x:c>
      <x:c r="G75" s="30" t="str">
        <x:v>Auditoría y seguimiento</x:v>
      </x:c>
    </x:row>
    <x:row r="76" ht="64" customHeight="1">
      <x:c r="A76" s="52" t="str">
        <x:v>MP-070</x:v>
      </x:c>
      <x:c r="B76" s="52" t="str">
        <x:v>Detectar inconsistencias</x:v>
      </x:c>
      <x:c r="C76" s="52" t="str">
        <x:v>Las diferencias se reportan sin borrar evidencia.</x:v>
      </x:c>
      <x:c r="D76" s="52" t="str">
        <x:v>Una inconsistencia visible incluye origen y dato esperado frente al observado.</x:v>
      </x:c>
      <x:c r="E76" s="54" t="str">
        <x:v>La detección solo reporta las diferencias, sin eliminar registros.</x:v>
      </x:c>
      <x:c r="F76" s="52" t="str">
        <x:v>E2</x:v>
      </x:c>
      <x:c r="G76" s="52" t="str">
        <x:v>Auditoría y seguimiento</x:v>
      </x:c>
    </x:row>
    <x:row r="77" ht="64" customHeight="1">
      <x:c r="A77" s="30" t="str">
        <x:v>MP-071</x:v>
      </x:c>
      <x:c r="B77" s="30" t="str">
        <x:v>Gestionar correcciones verificables</x:v>
      </x:c>
      <x:c r="C77" s="30" t="str">
        <x:v>La corrección referencia las operaciones que compensa.</x:v>
      </x:c>
      <x:c r="D77" s="30" t="str">
        <x:v>Un ajuste registrado conserva motivo, autor y referencia al movimiento compensado.</x:v>
      </x:c>
      <x:c r="E77" s="54" t="str">
        <x:v>Se conserva el historial de correcciones ejecutadas.</x:v>
      </x:c>
      <x:c r="F77" s="30" t="str">
        <x:v>E2</x:v>
      </x:c>
      <x:c r="G77" s="30" t="str">
        <x:v>Auditoría y seguimiento</x:v>
      </x:c>
    </x:row>
    <x:row r="78" ht="64" customHeight="1">
      <x:c r="A78" s="52" t="str">
        <x:v>MP-072</x:v>
      </x:c>
      <x:c r="B78" s="52" t="str">
        <x:v>Obtener reportes consolidados</x:v>
      </x:c>
      <x:c r="C78" s="52" t="str">
        <x:v>Los reportes reflejan información real registrada en la plataforma.</x:v>
      </x:c>
      <x:c r="D78" s="52" t="str">
        <x:v>Los totales de los informes coinciden con los registros y el rango consultado.</x:v>
      </x:c>
      <x:c r="E78" s="52" t="str">
        <x:v>—</x:v>
      </x:c>
      <x:c r="F78" s="52" t="str">
        <x:v>E3</x:v>
      </x:c>
      <x:c r="G78" s="52" t="str">
        <x:v>Auditoría y seguimiento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d1764a438ac4d6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5" hidden="0" customWidth="1"/>
    <x:col min="4" max="4" width="58" hidden="0" customWidth="1"/>
    <x:col min="5" max="5" width="12" hidden="0" customWidth="1"/>
    <x:col min="6" max="6" width="16" hidden="0" customWidth="1"/>
    <x:col min="7" max="7" width="55" hidden="0" customWidth="1"/>
    <x:col min="8" max="8" width="19" hidden="0" customWidth="1"/>
  </x:cols>
  <x:sheetData>
    <x:row r="1" ht="44" customHeight="1">
      <x:c r="A1" s="4" t="str">
        <x:v>MATCHPOINT  |  HOJA DE RUTA INICIAL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Propuesta de entregas. No representa fechas comprometidas ni Sprints definidos por la docente.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27" t="str">
        <x:v>Un Product Backlog es dinámico. Estas versiones no son Sprint Backlog y pueden cambiar después del feedback.</x:v>
      </x:c>
      <x:c r="B3" s="127"/>
      <x:c r="C3" s="127"/>
      <x:c r="D3" s="127"/>
      <x:c r="E3" s="127"/>
      <x:c r="F3" s="127"/>
      <x:c r="G3" s="127"/>
      <x:c r="H3" s="127"/>
    </x:row>
    <x:row r="5" ht="35" customHeight="1">
      <x:c r="A5" s="24" t="str">
        <x:v>Entrega</x:v>
      </x:c>
      <x:c r="B5" s="24" t="str">
        <x:v>Prioridad</x:v>
      </x:c>
      <x:c r="C5" s="24" t="str">
        <x:v>Objetivo principal</x:v>
      </x:c>
      <x:c r="D5" s="24" t="str">
        <x:v>Incluye</x:v>
      </x:c>
      <x:c r="E5" s="24" t="str">
        <x:v>Historias</x:v>
      </x:c>
      <x:c r="F5" s="24" t="str">
        <x:v>SP estimados</x:v>
      </x:c>
      <x:c r="G5" s="24" t="str">
        <x:v>Condición de salida propuesta</x:v>
      </x:c>
      <x:c r="H5" s="24" t="str">
        <x:v>Estado del acuerdo</x:v>
      </x:c>
    </x:row>
    <x:row r="6" ht="103" customHeight="1">
      <x:c r="A6" s="131" t="str">
        <x:v>E1 - MVP</x:v>
      </x:c>
      <x:c r="B6" s="131" t="str">
        <x:v>Must</x:v>
      </x:c>
      <x:c r="C6" s="131" t="str">
        <x:v>Demostrar el recorrido esencial completo: torneos → pronóstico válido → cargo seguro → resultado → liquidación.</x:v>
      </x:c>
      <x:c r="D6" s="131" t="str">
        <x:v>Acceso, permisos mínimos, torneos, eventos, opciones válidas, pronósticos, saldos, registros, concurrencia, resultados y premios.</x:v>
      </x:c>
      <x:c r="E6" s="131" t="n">
        <x:f>COUNTIF('01_Product_Backlog'!G7:G78,"E1 - MVP")</x:f>
        <x:v>36</x:v>
      </x:c>
      <x:c r="F6" s="131" t="n">
        <x:f>SUMIF('01_Product_Backlog'!G7:G78,"E1 - MVP",'01_Product_Backlog'!H7:H78)</x:f>
        <x:v>189</x:v>
      </x:c>
      <x:c r="G6" s="131" t="str">
        <x:v>Flujo funcional verificable; sin saldos negativos, duplicados ni accesos indebidos.</x:v>
      </x:c>
      <x:c r="H6" s="131" t="str">
        <x:v>Por confirmar</x:v>
      </x:c>
    </x:row>
    <x:row r="7" ht="103" customHeight="1">
      <x:c r="A7" s="135" t="str">
        <x:v>E2</x:v>
      </x:c>
      <x:c r="B7" s="135" t="str">
        <x:v>Should</x:v>
      </x:c>
      <x:c r="C7" s="135" t="str">
        <x:v>Profundizar consultas, ajustes, usabilidad y mecanismos de recuperación.</x:v>
      </x:c>
      <x:c r="D7" s="135" t="str">
        <x:v>Perfiles, edición controlada, calendario, confirmaciones, consulta, fallos, corrección de resultados y seguimiento.</x:v>
      </x:c>
      <x:c r="E7" s="135" t="n">
        <x:f>COUNTIF('01_Product_Backlog'!G7:G78,"E2")</x:f>
        <x:v>24</x:v>
      </x:c>
      <x:c r="F7" s="135" t="n">
        <x:f>SUMIF('01_Product_Backlog'!G7:G78,"E2",'01_Product_Backlog'!H7:H78)</x:f>
        <x:v>118</x:v>
      </x:c>
      <x:c r="G7" s="135" t="str">
        <x:v>Historial y cambios verificables; resolución controlada de correcciones; sin pérdida de datos.</x:v>
      </x:c>
      <x:c r="H7" s="135" t="str">
        <x:v>Por confirmar</x:v>
      </x:c>
    </x:row>
    <x:row r="8" ht="103" customHeight="1">
      <x:c r="A8" s="139" t="str">
        <x:v>E3</x:v>
      </x:c>
      <x:c r="B8" s="139" t="str">
        <x:v>Could</x:v>
      </x:c>
      <x:c r="C8" s="139" t="str">
        <x:v>Ampliar modalidades y consulta consolidada del producto.</x:v>
      </x:c>
      <x:c r="D8" s="139" t="str">
        <x:v>Flexibilidad de torneos, modalidad ganador, filtros, reportes e historial reforzado.</x:v>
      </x:c>
      <x:c r="E8" s="139" t="n">
        <x:f>COUNTIF('01_Product_Backlog'!G7:G78,"E3")</x:f>
        <x:v>12</x:v>
      </x:c>
      <x:c r="F8" s="139" t="n">
        <x:f>SUMIF('01_Product_Backlog'!G7:G78,"E3",'01_Product_Backlog'!H7:H78)</x:f>
        <x:v>54</x:v>
      </x:c>
      <x:c r="G8" s="139" t="str">
        <x:v>Funciones extendidas probadas sin alterar reglas esenciales ni movimientos históricos.</x:v>
      </x:c>
      <x:c r="H8" s="139" t="str">
        <x:v>Por confirmar</x:v>
      </x:c>
    </x:row>
    <x:row r="10" ht="30" customHeight="1">
      <x:c r="A10" s="142" t="str">
        <x:v>DEFINICIÓN DE TERMINADO (DoD) PROPUESTA</x:v>
      </x:c>
      <x:c r="B10" s="142"/>
      <x:c r="C10" s="142"/>
      <x:c r="D10" s="142"/>
      <x:c r="E10" s="142"/>
      <x:c r="F10" s="142"/>
      <x:c r="G10" s="142"/>
      <x:c r="H10" s="142"/>
    </x:row>
    <x:row r="11" ht="30" customHeight="1">
      <x:c r="A11" s="144" t="str">
        <x:v>•  Código y documentación revisados por otro integrante; integración sin fallos conocidos.</x:v>
      </x:c>
      <x:c r="B11" s="144"/>
      <x:c r="C11" s="144"/>
      <x:c r="D11" s="144"/>
      <x:c r="E11" s="144"/>
      <x:c r="F11" s="144"/>
      <x:c r="G11" s="144"/>
      <x:c r="H11" s="144"/>
    </x:row>
    <x:row r="12" ht="30" customHeight="1">
      <x:c r="A12" s="109" t="str">
        <x:v>•  Los criterios de aceptación de la historia se cumplen y tienen evidencia de prueba.</x:v>
      </x:c>
      <x:c r="B12" s="109"/>
      <x:c r="C12" s="109"/>
      <x:c r="D12" s="109"/>
      <x:c r="E12" s="109"/>
      <x:c r="F12" s="109"/>
      <x:c r="G12" s="109"/>
      <x:c r="H12" s="109"/>
    </x:row>
    <x:row r="13" ht="30" customHeight="1">
      <x:c r="A13" s="144" t="str">
        <x:v>•  Permisos, validaciones y casos negativos incluidos donde apliquen.</x:v>
      </x:c>
      <x:c r="B13" s="144"/>
      <x:c r="C13" s="144"/>
      <x:c r="D13" s="144"/>
      <x:c r="E13" s="144"/>
      <x:c r="F13" s="144"/>
      <x:c r="G13" s="144"/>
      <x:c r="H13" s="144"/>
    </x:row>
    <x:row r="14" ht="30" customHeight="1">
      <x:c r="A14" s="109" t="str">
        <x:v>•  Cambios de datos y créditos protegidos por transacciones y trazabilidad cuando correspondan.</x:v>
      </x:c>
      <x:c r="B14" s="109"/>
      <x:c r="C14" s="109"/>
      <x:c r="D14" s="109"/>
      <x:c r="E14" s="109"/>
      <x:c r="F14" s="109"/>
      <x:c r="G14" s="109"/>
      <x:c r="H14" s="109"/>
    </x:row>
    <x:row r="15" ht="30" customHeight="1">
      <x:c r="A15" s="144" t="str">
        <x:v>•  Las historias terminadas se demuestran al equipo y se actualizan en GitHub.</x:v>
      </x:c>
      <x:c r="B15" s="144"/>
      <x:c r="C15" s="144"/>
      <x:c r="D15" s="144"/>
      <x:c r="E15" s="144"/>
      <x:c r="F15" s="144"/>
      <x:c r="G15" s="144"/>
      <x:c r="H15" s="144"/>
    </x:row>
  </x:sheetData>
  <x:mergeCells>
    <x:mergeCell ref="A1:H1"/>
    <x:mergeCell ref="A2:H2"/>
    <x:mergeCell ref="A3:H3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65" hidden="0" customWidth="1"/>
    <x:col min="5" max="5" width="72" hidden="0" customWidth="1"/>
    <x:col min="6" max="6" width="21" hidden="0" customWidth="1"/>
  </x:cols>
  <x:sheetData>
    <x:row r="1" ht="44" customHeight="1">
      <x:c r="A1" s="4" t="str">
        <x:v>MATCHPOINT  |  RIESGOS Y DECISIONES</x:v>
      </x:c>
      <x:c r="B1" s="4"/>
      <x:c r="C1" s="4"/>
      <x:c r="D1" s="4"/>
      <x:c r="E1" s="4"/>
      <x:c r="F1" s="4"/>
    </x:row>
    <x:row r="2" ht="30" customHeight="1">
      <x:c r="A2" s="10" t="str">
        <x:v>Control de calidad del Product Backlog · preguntas por resolver con el equipo y la profesora</x:v>
      </x:c>
      <x:c r="B2" s="10"/>
      <x:c r="C2" s="10"/>
      <x:c r="D2" s="10"/>
      <x:c r="E2" s="10"/>
      <x:c r="F2" s="10"/>
    </x:row>
    <x:row r="5" ht="35" customHeight="1">
      <x:c r="A5" s="24" t="str">
        <x:v>ID</x:v>
      </x:c>
      <x:c r="B5" s="24" t="str">
        <x:v>Tipo</x:v>
      </x:c>
      <x:c r="C5" s="24" t="str">
        <x:v>Historias relacionadas</x:v>
      </x:c>
      <x:c r="D5" s="24" t="str">
        <x:v>Situación que debe revisarse</x:v>
      </x:c>
      <x:c r="E5" s="24" t="str">
        <x:v>Acción propuesta</x:v>
      </x:c>
      <x:c r="F5" s="24" t="str">
        <x:v>Estado</x:v>
      </x:c>
    </x:row>
    <x:row r="6" ht="86" customHeight="1">
      <x:c r="A6" s="146" t="str">
        <x:v>R-01</x:v>
      </x:c>
      <x:c r="B6" s="146" t="str">
        <x:v>Permisos / privacidad</x:v>
      </x:c>
      <x:c r="C6" s="146" t="str">
        <x:v>MP-003 · MP-005 · MP-050 · MP-051</x:v>
      </x:c>
      <x:c r="D6" s="146" t="str">
        <x:v>MP-005 aparece en E2, pero el enunciado exige privacidad desde el inicio.</x:v>
      </x:c>
      <x:c r="E6" s="146" t="str">
        <x:v>Aplicar control básico de propiedad y permisos desde E1; E2 añade verificaciones más exhaustivas.</x:v>
      </x:c>
      <x:c r="F6" s="146" t="str">
        <x:v>Pendiente de validar</x:v>
      </x:c>
    </x:row>
    <x:row r="7" ht="86" customHeight="1">
      <x:c r="A7" s="30" t="str">
        <x:v>R-02</x:v>
      </x:c>
      <x:c r="B7" s="30" t="str">
        <x:v>Atomicidad / fallos</x:v>
      </x:c>
      <x:c r="C7" s="30" t="str">
        <x:v>MP-031 · MP-039 · MP-043 · MP-046</x:v>
      </x:c>
      <x:c r="D7" s="30" t="str">
        <x:v>El manejo de fallos detallado está en E2, pero el cargo y pronóstico no pueden quedar inconsistentes en E1.</x:v>
      </x:c>
      <x:c r="E7" s="30" t="str">
        <x:v>Hacer confirmación atómica en E1; ampliar recuperaciones y reintentos en E2.</x:v>
      </x:c>
      <x:c r="F7" s="30" t="str">
        <x:v>Pendiente de validar</x:v>
      </x:c>
    </x:row>
    <x:row r="8" ht="86" customHeight="1">
      <x:c r="A8" s="146" t="str">
        <x:v>R-03</x:v>
      </x:c>
      <x:c r="B8" s="146" t="str">
        <x:v>Premios / duplicidad</x:v>
      </x:c>
      <x:c r="C8" s="146" t="str">
        <x:v>MP-041 · MP-062 · MP-063</x:v>
      </x:c>
      <x:c r="D8" s="146" t="str">
        <x:v>MP-041 se incluyó en E2 y MP-062 en E1; parecen describir partes de un mismo abono.</x:v>
      </x:c>
      <x:c r="E8" s="146" t="str">
        <x:v>Diferenciar el premio mínimo automático E1 de funciones adicionales de gestión/consulta E2.</x:v>
      </x:c>
      <x:c r="F8" s="146" t="str">
        <x:v>Pendiente de validar</x:v>
      </x:c>
    </x:row>
    <x:row r="9" ht="86" customHeight="1">
      <x:c r="A9" s="30" t="str">
        <x:v>R-04</x:v>
      </x:c>
      <x:c r="B9" s="30" t="str">
        <x:v>Reversión / corrección</x:v>
      </x:c>
      <x:c r="C9" s="30" t="str">
        <x:v>MP-042 · MP-048 · MP-058 · MP-065 · MP-071</x:v>
      </x:c>
      <x:c r="D9" s="30" t="str">
        <x:v>Ajustes, reversiones y reliquidaciones están repartidos entre E2 y E3.</x:v>
      </x:c>
      <x:c r="E9" s="30" t="str">
        <x:v>Definir un flujo unificado de corrección y registro compensatorio antes de confirmar versiones.</x:v>
      </x:c>
      <x:c r="F9" s="30" t="str">
        <x:v>Pendiente de validar</x:v>
      </x:c>
    </x:row>
    <x:row r="10" ht="86" customHeight="1">
      <x:c r="A10" s="146" t="str">
        <x:v>R-05</x:v>
      </x:c>
      <x:c r="B10" s="146" t="str">
        <x:v>Criterios técnicos</x:v>
      </x:c>
      <x:c r="C10" s="146" t="str">
        <x:v>MP-044 · MP-045 · MP-063</x:v>
      </x:c>
      <x:c r="D10" s="146" t="str">
        <x:v>Idempotencia y concurrencia exigen pruebas técnicas, no solo pruebas de pantalla.</x:v>
      </x:c>
      <x:c r="E10" s="146" t="str">
        <x:v>Crear pruebas de peticiones repetidas, competencia por saldo y reejecución de liquidación.</x:v>
      </x:c>
      <x:c r="F10" s="146" t="str">
        <x:v>Pendiente de validar</x:v>
      </x:c>
    </x:row>
    <x:row r="11" ht="86" customHeight="1">
      <x:c r="A11" s="30" t="str">
        <x:v>R-06</x:v>
      </x:c>
      <x:c r="B11" s="30" t="str">
        <x:v>Reglas de premios</x:v>
      </x:c>
      <x:c r="C11" s="30" t="str">
        <x:v>MP-061 · MP-062</x:v>
      </x:c>
      <x:c r="D11" s="30" t="str">
        <x:v>El enunciado no fija porcentajes, costos de pronóstico ni fórmulas exactas de premios.</x:v>
      </x:c>
      <x:c r="E11" s="30" t="str">
        <x:v>Solicitar reglas de liquidación antes de definir cálculos y datos definitivos.</x:v>
      </x:c>
      <x:c r="F11" s="30" t="str">
        <x:v>Pendiente de validar</x:v>
      </x:c>
    </x:row>
    <x:row r="12" ht="86" customHeight="1">
      <x:c r="A12" s="146" t="str">
        <x:v>R-07</x:v>
      </x:c>
      <x:c r="B12" s="146" t="str">
        <x:v>Asignación inicial</x:v>
      </x:c>
      <x:c r="C12" s="146" t="str">
        <x:v>MP-037</x:v>
      </x:c>
      <x:c r="D12" s="146" t="str">
        <x:v>No hay cantidad inicial de créditos definida por la empresa.</x:v>
      </x:c>
      <x:c r="E12" s="146" t="str">
        <x:v>Pedir definición o mantener parámetros configurables; no inventar cifras.</x:v>
      </x:c>
      <x:c r="F12" s="146" t="str">
        <x:v>Pendiente de validar</x:v>
      </x:c>
    </x:row>
    <x:row r="13" ht="86" customHeight="1">
      <x:c r="A13" s="30" t="str">
        <x:v>R-08</x:v>
      </x:c>
      <x:c r="B13" s="30" t="str">
        <x:v>Definición de roles</x:v>
      </x:c>
      <x:c r="C13" s="30" t="str">
        <x:v>Equipo MatchPoint</x:v>
      </x:c>
      <x:c r="D13" s="30" t="str">
        <x:v>Las cuatro especialidades están asignadas, pero no se confirmó un Product Owner formal.</x:v>
      </x:c>
      <x:c r="E13" s="30" t="str">
        <x:v>Acordar con la profesora quién validará prioridades y representará necesidades de negocio.</x:v>
      </x:c>
      <x:c r="F13" s="30" t="str">
        <x:v>Pendiente de validar</x:v>
      </x:c>
    </x:row>
    <x:row r="14" ht="86" customHeight="1">
      <x:c r="A14" s="146" t="str">
        <x:v>R-09</x:v>
      </x:c>
      <x:c r="B14" s="146" t="str">
        <x:v>Fecha / planificación</x:v>
      </x:c>
      <x:c r="C14" s="146" t="str">
        <x:v>E1 · E2 · E3</x:v>
      </x:c>
      <x:c r="D14" s="146" t="str">
        <x:v>No se han suministrado fechas ni duración de Sprints.</x:v>
      </x:c>
      <x:c r="E14" s="146" t="str">
        <x:v>No inventar compromisos; acordar tiempos con docente/equipo.</x:v>
      </x:c>
      <x:c r="F14" s="146" t="str">
        <x:v>Pendiente de validar</x:v>
      </x:c>
    </x:row>
    <x:row r="15" ht="86" customHeight="1">
      <x:c r="A15" s="30" t="str">
        <x:v>R-10</x:v>
      </x:c>
      <x:c r="B15" s="30" t="str">
        <x:v>Trabajo individual</x:v>
      </x:c>
      <x:c r="C15" s="30" t="str">
        <x:v>User Story Map</x:v>
      </x:c>
      <x:c r="D15" s="30" t="str">
        <x:v>La guía sugiere mapas individuales antes de consolidar el mapa grupal.</x:v>
      </x:c>
      <x:c r="E15" s="30" t="str">
        <x:v>Conservar evidencia de propuestas individuales y de la reunión de consolidación.</x:v>
      </x:c>
      <x:c r="F15" s="30" t="str">
        <x:v>Pendiente de validar</x:v>
      </x:c>
    </x:row>
  </x:sheetData>
  <x:mergeCells>
    <x:mergeCell ref="A1:F1"/>
    <x:mergeCell ref="A2:F2"/>
  </x:mergeCells>
  <x:dataValidations count="1">
    <x:dataValidation type="list" sqref="F6:F15">
      <x:formula1>"Pendiente de validar,En discusión,Aprobado,Rechazado,Resuelto"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6" hidden="0" customWidth="1"/>
    <x:col min="4" max="4" width="55" hidden="0" customWidth="1"/>
  </x:cols>
  <x:sheetData>
    <x:row r="1" ht="44" customHeight="1">
      <x:c r="A1" s="4" t="str">
        <x:v>MATCHPOINT  |  GUÍA DE USO Y GLOSARIO</x:v>
      </x:c>
      <x:c r="B1" s="4"/>
      <x:c r="C1" s="4"/>
      <x:c r="D1" s="4"/>
    </x:row>
    <x:row r="2" ht="30" customHeight="1">
      <x:c r="A2" s="10" t="str">
        <x:v>Significado de columnas, responsabilidades y guía corta para entregar en GitHub</x:v>
      </x:c>
      <x:c r="B2" s="10"/>
      <x:c r="C2" s="10"/>
      <x:c r="D2" s="10"/>
    </x:row>
    <x:row r="5" ht="35" customHeight="1">
      <x:c r="A5" s="24" t="str">
        <x:v>Término</x:v>
      </x:c>
      <x:c r="B5" s="24" t="str">
        <x:v>Qué significa</x:v>
      </x:c>
      <x:c r="C5" s="24" t="str">
        <x:v>Ejemplo en MatchPoint</x:v>
      </x:c>
      <x:c r="D5" s="24" t="str">
        <x:v>Qué debe hacer el equipo</x:v>
      </x:c>
    </x:row>
    <x:row r="6" ht="53" customHeight="1">
      <x:c r="A6" s="148" t="str">
        <x:v>Product Backlog</x:v>
      </x:c>
      <x:c r="B6" s="148" t="str">
        <x:v>Lista ordenada y cambiante de trabajo necesario para el producto.</x:v>
      </x:c>
      <x:c r="C6" s="148" t="str">
        <x:v>72 historias identificadas MP-001 a MP-072.</x:v>
      </x:c>
      <x:c r="D6" s="148" t="str">
        <x:v>Revisar prioridades y ajustar tras comentarios de la docente.</x:v>
      </x:c>
    </x:row>
    <x:row r="7" ht="53" customHeight="1">
      <x:c r="A7" s="30" t="str">
        <x:v>User Story</x:v>
      </x:c>
      <x:c r="B7" s="30" t="str">
        <x:v>Necesidad expresada desde el punto de vista del usuario o responsable.</x:v>
      </x:c>
      <x:c r="C7" s="30" t="str">
        <x:v>Como participante, quiero consultar mis pronósticos...</x:v>
      </x:c>
      <x:c r="D7" s="30" t="str">
        <x:v>Mantener relación ID con el mapa de historias.</x:v>
      </x:c>
    </x:row>
    <x:row r="8" ht="53" customHeight="1">
      <x:c r="A8" s="148" t="str">
        <x:v>Criterio de aceptación</x:v>
      </x:c>
      <x:c r="B8" s="148" t="str">
        <x:v>Condición verificable para aceptar una historia terminada.</x:v>
      </x:c>
      <x:c r="C8" s="148" t="str">
        <x:v>Una solicitud duplicada no genera un segundo descuento.</x:v>
      </x:c>
      <x:c r="D8" s="148" t="str">
        <x:v>Reunir evidencia para cada criterio.</x:v>
      </x:c>
    </x:row>
    <x:row r="9" ht="53" customHeight="1">
      <x:c r="A9" s="30" t="str">
        <x:v>MoSCoW - Must</x:v>
      </x:c>
      <x:c r="B9" s="30" t="str">
        <x:v>Imprescindible para el alcance mínimo acordado.</x:v>
      </x:c>
      <x:c r="C9" s="30" t="str">
        <x:v>Bloqueo de saldos negativos y pronósticos fuera de plazo.</x:v>
      </x:c>
      <x:c r="D9" s="30" t="str">
        <x:v>Revisar que ningún requisito obligatorio quede sin cobertura en E1.</x:v>
      </x:c>
    </x:row>
    <x:row r="10" ht="53" customHeight="1">
      <x:c r="A10" s="148" t="str">
        <x:v>MoSCoW - Should</x:v>
      </x:c>
      <x:c r="B10" s="148" t="str">
        <x:v>Importante, pero puede ir después del recorrido mínimo.</x:v>
      </x:c>
      <x:c r="C10" s="148" t="str">
        <x:v>Filtros adicionales, consulta ampliada.</x:v>
      </x:c>
      <x:c r="D10" s="148" t="str">
        <x:v>Validar con docente la versión propuesta.</x:v>
      </x:c>
    </x:row>
    <x:row r="11" ht="53" customHeight="1">
      <x:c r="A11" s="30" t="str">
        <x:v>MoSCoW - Could</x:v>
      </x:c>
      <x:c r="B11" s="30" t="str">
        <x:v>Deseable o ampliación futura.</x:v>
      </x:c>
      <x:c r="C11" s="30" t="str">
        <x:v>Nuevas modalidades y reportes ampliados.</x:v>
      </x:c>
      <x:c r="D11" s="30" t="str">
        <x:v>Conservarlo visible en el backlog.</x:v>
      </x:c>
    </x:row>
    <x:row r="12" ht="53" customHeight="1">
      <x:c r="A12" s="148" t="str">
        <x:v>MoSCoW - Won't</x:v>
      </x:c>
      <x:c r="B12" s="148" t="str">
        <x:v>Fuera del alcance actual; no significa que nunca se hará.</x:v>
      </x:c>
      <x:c r="C12" s="148" t="str">
        <x:v>Cualquier función descartada expresamente por el equipo.</x:v>
      </x:c>
      <x:c r="D12" s="148" t="str">
        <x:v>No inventar descartes sin acuerdo.</x:v>
      </x:c>
    </x:row>
    <x:row r="13" ht="53" customHeight="1">
      <x:c r="A13" s="30" t="str">
        <x:v>MVP</x:v>
      </x:c>
      <x:c r="B13" s="30" t="str">
        <x:v>Producto mínimo viable con recorrido completo y controles críticos.</x:v>
      </x:c>
      <x:c r="C13" s="30" t="str">
        <x:v>Evento, pronóstico, cargo, resultado y premio.</x:v>
      </x:c>
      <x:c r="D13" s="30" t="str">
        <x:v>Demostrar el recorrido completo y seguro.</x:v>
      </x:c>
    </x:row>
    <x:row r="14" ht="53" customHeight="1">
      <x:c r="A14" s="148" t="str">
        <x:v>Sprint Backlog</x:v>
      </x:c>
      <x:c r="B14" s="148" t="str">
        <x:v>Historias/tareas que el equipo selecciona para un Sprint específico.</x:v>
      </x:c>
      <x:c r="C14" s="148" t="str">
        <x:v>No se ha definido todavía un Sprint.</x:v>
      </x:c>
      <x:c r="D14" s="148" t="str">
        <x:v>No confundir con las 72 historias del Product Backlog.</x:v>
      </x:c>
    </x:row>
    <x:row r="15" ht="53" customHeight="1">
      <x:c r="A15" s="30" t="str">
        <x:v>Story Points (SP)</x:v>
      </x:c>
      <x:c r="B15" s="30" t="str">
        <x:v>Estimación relativa de tamaño/complejidad, no horas.</x:v>
      </x:c>
      <x:c r="C15" s="30" t="str">
        <x:v>Una operación concurrente puede estimarse con 13 SP.</x:v>
      </x:c>
      <x:c r="D15" s="30" t="str">
        <x:v>Discutir y reestimar entre los cuatro integrantes.</x:v>
      </x:c>
    </x:row>
    <x:row r="16" ht="53" customHeight="1">
      <x:c r="A16" s="148" t="str">
        <x:v>Dependencias</x:v>
      </x:c>
      <x:c r="B16" s="148" t="str">
        <x:v>Historias previas necesarias o relacionadas.</x:v>
      </x:c>
      <x:c r="C16" s="148" t="str">
        <x:v>MP-062 depende de publicación y registros previos.</x:v>
      </x:c>
      <x:c r="D16" s="148" t="str">
        <x:v>Acordar el orden técnico real; son sugerencias.</x:v>
      </x:c>
    </x:row>
    <x:row r="17" ht="53" customHeight="1">
      <x:c r="A17" s="30" t="str">
        <x:v>Definition of Done</x:v>
      </x:c>
      <x:c r="B17" s="30" t="str">
        <x:v>Acuerdo para considerar trabajo terminado.</x:v>
      </x:c>
      <x:c r="C17" s="30" t="str">
        <x:v>Pruebas, aceptación, revisión y documentación.</x:v>
      </x:c>
      <x:c r="D17" s="30" t="str">
        <x:v>Confirmarlo como equipo.</x:v>
      </x:c>
    </x:row>
    <x:row r="18" ht="53" customHeight="1">
      <x:c r="A18" s="148" t="str">
        <x:v>Idempotencia</x:v>
      </x:c>
      <x:c r="B18" s="148" t="str">
        <x:v>Repetir una solicitud no duplica el efecto confirmado.</x:v>
      </x:c>
      <x:c r="C18" s="148" t="str">
        <x:v>Dos clics no significan dos descuentos.</x:v>
      </x:c>
      <x:c r="D18" s="148" t="str">
        <x:v>Probar requests repetidos y registrar evidencia.</x:v>
      </x:c>
    </x:row>
    <x:row r="19" ht="53" customHeight="1">
      <x:c r="A19" s="30" t="str">
        <x:v>Concurrencia</x:v>
      </x:c>
      <x:c r="B19" s="30" t="str">
        <x:v>Operaciones simultáneas compiten por un recurso.</x:v>
      </x:c>
      <x:c r="C19" s="30" t="str">
        <x:v>Dos pronósticos intentando usar el mismo saldo.</x:v>
      </x:c>
      <x:c r="D19" s="30" t="str">
        <x:v>Probar aislamiento e integridad del saldo.</x:v>
      </x:c>
    </x:row>
    <x:row r="20" ht="53" customHeight="1">
      <x:c r="A20" s="148" t="str">
        <x:v>Trazabilidad</x:v>
      </x:c>
      <x:c r="B20" s="148" t="str">
        <x:v>Posibilidad de reconstruir el origen y evolución de un registro.</x:v>
      </x:c>
      <x:c r="C20" s="148" t="str">
        <x:v>Abono → liquidación → pronóstico → evento.</x:v>
      </x:c>
      <x:c r="D20" s="148" t="str">
        <x:v>Nunca borrar silenciosamente movimientos confirmados.</x:v>
      </x:c>
    </x:row>
    <x:row r="21" ht="53" customHeight="1">
      <x:c r="A21" s="30" t="str">
        <x:v>Créditos virtuales</x:v>
      </x:c>
      <x:c r="B21" s="30" t="str">
        <x:v>Saldo de uso interno sin valor monetario.</x:v>
      </x:c>
      <x:c r="C21" s="30" t="str">
        <x:v>Créditos para realizar predicciones deportivas.</x:v>
      </x:c>
      <x:c r="D21" s="30" t="str">
        <x:v>No implementar retiros ni cambio a dinero real.</x:v>
      </x:c>
    </x:row>
    <x:row r="22" ht="53" customHeight="1">
      <x:c r="A22" s="148" t="str">
        <x:v>Responsable propuesto</x:v>
      </x:c>
      <x:c r="B22" s="148" t="str">
        <x:v>Orientación de coordinación, no obligación definitiva.</x:v>
      </x:c>
      <x:c r="C22" s="148" t="str">
        <x:v>Maicol como apoyo técnico de lógica; Camilo de datos.</x:v>
      </x:c>
      <x:c r="D22" s="148" t="str">
        <x:v>Distribuir carga en grupo y revisar responsabilidades.</x:v>
      </x:c>
    </x:row>
  </x:sheetData>
  <x:mergeCells>
    <x:mergeCell ref="A1:D1"/>
    <x:mergeCell ref="A2:D2"/>
  </x:mergeCells>
  <x:pageMargins left="0.7" right="0.7" top="0.75" bottom="0.75" header="0.3" footer="0.3"/>
</x:worksheet>
</file>